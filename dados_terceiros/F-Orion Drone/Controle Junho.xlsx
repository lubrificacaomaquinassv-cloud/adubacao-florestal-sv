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F-Orion Drone\"/>
    </mc:Choice>
  </mc:AlternateContent>
  <xr:revisionPtr revIDLastSave="0" documentId="13_ncr:1_{CBF8B02F-C047-4C54-9121-C7C502BA8A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5" i="1" l="1"/>
  <c r="L24" i="1"/>
  <c r="L21" i="1"/>
  <c r="L22" i="1"/>
  <c r="L23" i="1"/>
  <c r="I30" i="1" l="1"/>
  <c r="L29" i="1"/>
  <c r="L28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30" i="1" l="1"/>
  <c r="M28" i="1"/>
  <c r="N28" i="1" s="1"/>
  <c r="O28" i="1" s="1"/>
  <c r="P28" i="1" s="1"/>
</calcChain>
</file>

<file path=xl/sharedStrings.xml><?xml version="1.0" encoding="utf-8"?>
<sst xmlns="http://schemas.openxmlformats.org/spreadsheetml/2006/main" count="48" uniqueCount="34">
  <si>
    <t>F-ORION Tecnologia de Aplicação</t>
  </si>
  <si>
    <t>Prestação de Serviços - Santa Vergínia Agropecuária e Florestal LTDA</t>
  </si>
  <si>
    <t xml:space="preserve">Operação Realizada </t>
  </si>
  <si>
    <t>Produto</t>
  </si>
  <si>
    <t>Recomendação</t>
  </si>
  <si>
    <t>Volume de Calda</t>
  </si>
  <si>
    <t>Horto</t>
  </si>
  <si>
    <t>Talhão</t>
  </si>
  <si>
    <t>há total</t>
  </si>
  <si>
    <t>há aplicado</t>
  </si>
  <si>
    <t>Data Início</t>
  </si>
  <si>
    <t>Tarifa (R$/há)</t>
  </si>
  <si>
    <t>Valor Total</t>
  </si>
  <si>
    <t>Insumos</t>
  </si>
  <si>
    <t xml:space="preserve">Qtde </t>
  </si>
  <si>
    <t>Recomendação2</t>
  </si>
  <si>
    <t>Observação</t>
  </si>
  <si>
    <t>Pré emergente</t>
  </si>
  <si>
    <t>Deslocamento</t>
  </si>
  <si>
    <t>Abastecimento</t>
  </si>
  <si>
    <t>Período: Junho / 2026</t>
  </si>
  <si>
    <t>341 ao 343</t>
  </si>
  <si>
    <t>231A ao 232</t>
  </si>
  <si>
    <t>Varjão</t>
  </si>
  <si>
    <t>87 A e B</t>
  </si>
  <si>
    <t>526/527</t>
  </si>
  <si>
    <t>541/542</t>
  </si>
  <si>
    <t>Gasolina</t>
  </si>
  <si>
    <t>Diesel</t>
  </si>
  <si>
    <t>Córrego do Campo</t>
  </si>
  <si>
    <t>Eucalipto</t>
  </si>
  <si>
    <t>Barra do Cervo 2</t>
  </si>
  <si>
    <t>Aldeia</t>
  </si>
  <si>
    <t>Poço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</si>
</sst>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206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</font>
    <font>
      <b/>
      <i/>
      <sz val="11"/>
      <color rgb="FFC00000"/>
      <name val="Calibri"/>
      <family val="2"/>
    </font>
    <font>
      <i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335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16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2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0" applyFont="1"/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44" fontId="11" fillId="5" borderId="1" xfId="1" applyFont="1" applyFill="1" applyBorder="1" applyAlignment="1">
      <alignment horizont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44" fontId="11" fillId="6" borderId="1" xfId="1" applyFont="1" applyFill="1" applyBorder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2" fontId="13" fillId="6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1" fillId="5" borderId="6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 vertical="center"/>
    </xf>
    <xf numFmtId="14" fontId="11" fillId="5" borderId="6" xfId="0" applyNumberFormat="1" applyFont="1" applyFill="1" applyBorder="1" applyAlignment="1">
      <alignment horizontal="center" vertical="center"/>
    </xf>
    <xf numFmtId="1" fontId="11" fillId="6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vertical="center"/>
    </xf>
    <xf numFmtId="14" fontId="11" fillId="6" borderId="6" xfId="0" applyNumberFormat="1" applyFont="1" applyFill="1" applyBorder="1" applyAlignment="1">
      <alignment horizontal="center" vertical="center"/>
    </xf>
    <xf numFmtId="1" fontId="15" fillId="6" borderId="6" xfId="0" applyNumberFormat="1" applyFont="1" applyFill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2" fontId="15" fillId="6" borderId="6" xfId="0" applyNumberFormat="1" applyFont="1" applyFill="1" applyBorder="1" applyAlignment="1">
      <alignment horizontal="center" vertical="center"/>
    </xf>
    <xf numFmtId="14" fontId="15" fillId="6" borderId="6" xfId="0" applyNumberFormat="1" applyFont="1" applyFill="1" applyBorder="1" applyAlignment="1">
      <alignment horizontal="center" vertical="center"/>
    </xf>
    <xf numFmtId="164" fontId="15" fillId="6" borderId="6" xfId="0" applyNumberFormat="1" applyFont="1" applyFill="1" applyBorder="1" applyAlignment="1">
      <alignment horizontal="center" vertical="center"/>
    </xf>
    <xf numFmtId="164" fontId="15" fillId="6" borderId="1" xfId="1" applyNumberFormat="1" applyFont="1" applyFill="1" applyBorder="1" applyAlignment="1">
      <alignment horizontal="center"/>
    </xf>
    <xf numFmtId="164" fontId="15" fillId="5" borderId="1" xfId="1" applyNumberFormat="1" applyFont="1" applyFill="1" applyBorder="1" applyAlignment="1">
      <alignment horizontal="center"/>
    </xf>
    <xf numFmtId="1" fontId="15" fillId="5" borderId="6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2" fontId="15" fillId="5" borderId="6" xfId="0" applyNumberFormat="1" applyFont="1" applyFill="1" applyBorder="1" applyAlignment="1">
      <alignment horizontal="center" vertical="center"/>
    </xf>
    <xf numFmtId="14" fontId="15" fillId="5" borderId="6" xfId="0" applyNumberFormat="1" applyFont="1" applyFill="1" applyBorder="1" applyAlignment="1">
      <alignment horizontal="center" vertical="center"/>
    </xf>
    <xf numFmtId="164" fontId="15" fillId="5" borderId="6" xfId="0" applyNumberFormat="1" applyFont="1" applyFill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center"/>
    </xf>
    <xf numFmtId="0" fontId="0" fillId="2" borderId="0" xfId="0" applyFill="1"/>
    <xf numFmtId="0" fontId="16" fillId="2" borderId="6" xfId="0" applyFont="1" applyFill="1" applyBorder="1" applyAlignment="1">
      <alignment horizontal="center" vertical="center"/>
    </xf>
    <xf numFmtId="14" fontId="16" fillId="2" borderId="6" xfId="0" applyNumberFormat="1" applyFont="1" applyFill="1" applyBorder="1" applyAlignment="1">
      <alignment horizontal="center" vertical="center"/>
    </xf>
    <xf numFmtId="44" fontId="16" fillId="2" borderId="6" xfId="0" applyNumberFormat="1" applyFont="1" applyFill="1" applyBorder="1" applyAlignment="1">
      <alignment horizontal="center"/>
    </xf>
    <xf numFmtId="16" fontId="0" fillId="0" borderId="0" xfId="0" applyNumberFormat="1"/>
    <xf numFmtId="0" fontId="13" fillId="5" borderId="1" xfId="0" applyFont="1" applyFill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/>
    </xf>
    <xf numFmtId="164" fontId="11" fillId="5" borderId="6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7621</xdr:colOff>
      <xdr:row>0</xdr:row>
      <xdr:rowOff>91440</xdr:rowOff>
    </xdr:from>
    <xdr:to>
      <xdr:col>1</xdr:col>
      <xdr:colOff>1638301</xdr:colOff>
      <xdr:row>4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AA411F-8AC5-4B74-BE69-B3C392FE8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1" y="91440"/>
          <a:ext cx="1630680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C4B29-8308-4633-ADB7-CBF3B7A742DE}" name="TAB_APONT" displayName="TAB_APONT" ref="B6:P30" totalsRowCount="1" headerRowDxfId="25" dataDxfId="24" tableBorderDxfId="23">
  <autoFilter ref="B6:P29" xr:uid="{9B5C4B29-8308-4633-ADB7-CBF3B7A742DE}"/>
  <tableColumns count="15">
    <tableColumn id="2" xr3:uid="{0D5309F4-7390-4645-953A-EEA25FA5CE13}" name="Operação Realizada " totalsRowDxfId="12"/>
    <tableColumn id="6" xr3:uid="{67EEE458-64F0-42BD-8FC6-E9AB320D9A88}" name="Produto" dataDxfId="22" totalsRowDxfId="11"/>
    <tableColumn id="10" xr3:uid="{542C7C90-7A4D-4288-A35D-B37600B48BED}" name="Recomendação" dataDxfId="21" totalsRowDxfId="20"/>
    <tableColumn id="11" xr3:uid="{AD663028-5569-415D-8720-EE066BCB4735}" name="Volume de Calda" dataDxfId="19" totalsRowDxfId="18"/>
    <tableColumn id="3" xr3:uid="{1055CD91-F620-4FA1-8768-B61F9FB9BE06}" name="Horto" totalsRowDxfId="10"/>
    <tableColumn id="5" xr3:uid="{BEC19CB5-0CEA-4DFB-B881-A983465AD5A6}" name="Talhão" totalsRowDxfId="9"/>
    <tableColumn id="7" xr3:uid="{6AC4DA4D-2E07-42AE-BCC3-CF8BF13F4D85}" name="há total" totalsRowDxfId="8"/>
    <tableColumn id="4" xr3:uid="{320E2482-F070-448C-8949-0AA0BB072D48}" name="há aplicado" totalsRowFunction="sum" totalsRowDxfId="7"/>
    <tableColumn id="9" xr3:uid="{6E17D4E1-4A27-4672-94B9-54269A1AE56A}" name="Data Início" totalsRowDxfId="6"/>
    <tableColumn id="15" xr3:uid="{7516A43D-B2EC-4DB6-98E0-32398A93D22F}" name="Tarifa (R$/há)" totalsRowDxfId="5"/>
    <tableColumn id="8" xr3:uid="{EB349E55-B1EA-473B-961B-F413AEAD73C4}" name="Valor Total" totalsRowFunction="sum" dataDxfId="17" totalsRowDxfId="4">
      <calculatedColumnFormula>TAB_APONT[[#This Row],[Tarifa (R$/há)]]*TAB_APONT[[#This Row],[há aplicado]]</calculatedColumnFormula>
    </tableColumn>
    <tableColumn id="13" xr3:uid="{5629A3EE-13C3-40D3-9A28-F3E660F6FBA3}" name="Insumos" dataDxfId="16" totalsRowDxfId="3"/>
    <tableColumn id="14" xr3:uid="{0E42E6E5-EFAB-4BBA-9D46-D9D026A2A862}" name="Qtde " dataDxfId="15" totalsRowDxfId="2"/>
    <tableColumn id="18" xr3:uid="{CC045CDF-8E13-4803-A6FB-222EDBED71B1}" name="Recomendação2" dataDxfId="14" totalsRowDxfId="1"/>
    <tableColumn id="19" xr3:uid="{98D05783-CCB6-46BA-AD22-E77E4B80E0EF}" name="Observação" dataDxfId="1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7"/>
  <sheetViews>
    <sheetView showGridLines="0" tabSelected="1" topLeftCell="A9" workbookViewId="0">
      <selection activeCell="H12" sqref="H12"/>
    </sheetView>
  </sheetViews>
  <sheetFormatPr defaultColWidth="24.109375" defaultRowHeight="14.4" x14ac:dyDescent="0.3"/>
  <cols>
    <col min="1" max="1" width="5.77734375" customWidth="1"/>
    <col min="2" max="2" width="25.88671875" customWidth="1"/>
    <col min="3" max="3" width="18.6640625" customWidth="1"/>
    <col min="4" max="5" width="18.77734375" customWidth="1"/>
    <col min="6" max="6" width="18.77734375" style="2" customWidth="1"/>
    <col min="7" max="7" width="13.77734375" customWidth="1"/>
    <col min="8" max="9" width="14.77734375" customWidth="1"/>
    <col min="10" max="10" width="14.77734375" style="3" customWidth="1"/>
    <col min="11" max="11" width="16.77734375" style="4" customWidth="1"/>
    <col min="12" max="12" width="16.88671875" style="5" customWidth="1"/>
    <col min="13" max="13" width="60.88671875" hidden="1" customWidth="1"/>
    <col min="14" max="14" width="48.44140625" hidden="1" customWidth="1"/>
    <col min="15" max="16" width="0" hidden="1" customWidth="1"/>
  </cols>
  <sheetData>
    <row r="2" spans="2:16" ht="15.6" x14ac:dyDescent="0.3">
      <c r="C2" s="1" t="s">
        <v>0</v>
      </c>
      <c r="D2" s="1"/>
      <c r="E2" s="1"/>
    </row>
    <row r="3" spans="2:16" ht="22.8" x14ac:dyDescent="0.3">
      <c r="C3" s="1" t="s">
        <v>1</v>
      </c>
      <c r="D3" s="1"/>
      <c r="E3" s="1"/>
      <c r="F3" s="6"/>
      <c r="G3" s="6"/>
      <c r="H3" s="6"/>
      <c r="I3" s="6"/>
      <c r="J3" s="6"/>
      <c r="K3" s="7"/>
      <c r="L3" s="8"/>
    </row>
    <row r="4" spans="2:16" ht="22.8" x14ac:dyDescent="0.3">
      <c r="C4" s="9" t="s">
        <v>20</v>
      </c>
      <c r="D4" s="9"/>
      <c r="E4" s="9"/>
      <c r="F4" s="6"/>
      <c r="G4" s="6"/>
      <c r="H4" s="6"/>
      <c r="I4" s="6"/>
      <c r="J4" s="6"/>
      <c r="K4" s="7"/>
      <c r="L4" s="8"/>
    </row>
    <row r="5" spans="2:16" ht="17.399999999999999" x14ac:dyDescent="0.3">
      <c r="F5" s="10"/>
      <c r="G5" s="11"/>
      <c r="H5" s="12"/>
      <c r="I5" s="12"/>
      <c r="J5" s="13"/>
      <c r="K5" s="14"/>
      <c r="L5" s="15"/>
    </row>
    <row r="6" spans="2:16" s="26" customFormat="1" x14ac:dyDescent="0.3">
      <c r="B6" s="16" t="s">
        <v>2</v>
      </c>
      <c r="C6" s="16" t="s">
        <v>3</v>
      </c>
      <c r="D6" s="16" t="s">
        <v>4</v>
      </c>
      <c r="E6" s="16" t="s">
        <v>5</v>
      </c>
      <c r="F6" s="17" t="s">
        <v>6</v>
      </c>
      <c r="G6" s="17" t="s">
        <v>7</v>
      </c>
      <c r="H6" s="17" t="s">
        <v>8</v>
      </c>
      <c r="I6" s="18" t="s">
        <v>9</v>
      </c>
      <c r="J6" s="19" t="s">
        <v>10</v>
      </c>
      <c r="K6" s="20" t="s">
        <v>11</v>
      </c>
      <c r="L6" s="21" t="s">
        <v>12</v>
      </c>
      <c r="M6" s="22" t="s">
        <v>13</v>
      </c>
      <c r="N6" s="23" t="s">
        <v>14</v>
      </c>
      <c r="O6" s="24" t="s">
        <v>15</v>
      </c>
      <c r="P6" s="25" t="s">
        <v>16</v>
      </c>
    </row>
    <row r="7" spans="2:16" x14ac:dyDescent="0.3">
      <c r="B7" s="27" t="s">
        <v>17</v>
      </c>
      <c r="C7" s="27"/>
      <c r="D7" s="27"/>
      <c r="E7" s="27"/>
      <c r="F7" s="27" t="s">
        <v>30</v>
      </c>
      <c r="G7" s="28" t="s">
        <v>21</v>
      </c>
      <c r="H7" s="28">
        <v>158.57</v>
      </c>
      <c r="I7" s="29">
        <v>158.57</v>
      </c>
      <c r="J7" s="30"/>
      <c r="K7" s="31">
        <v>79</v>
      </c>
      <c r="L7" s="32">
        <f>TAB_APONT[[#This Row],[Tarifa (R$/há)]]*TAB_APONT[[#This Row],[há aplicado]]</f>
        <v>12527.029999999999</v>
      </c>
      <c r="M7" s="33"/>
      <c r="N7" s="34"/>
      <c r="O7" s="35"/>
      <c r="P7" s="35"/>
    </row>
    <row r="8" spans="2:16" x14ac:dyDescent="0.3">
      <c r="B8" s="36"/>
      <c r="C8" s="36"/>
      <c r="D8" s="36"/>
      <c r="E8" s="36"/>
      <c r="F8" s="36" t="s">
        <v>30</v>
      </c>
      <c r="G8" s="37" t="s">
        <v>22</v>
      </c>
      <c r="H8" s="37">
        <v>82.74</v>
      </c>
      <c r="I8" s="38">
        <v>75</v>
      </c>
      <c r="J8" s="39"/>
      <c r="K8" s="40">
        <v>79</v>
      </c>
      <c r="L8" s="41">
        <f>TAB_APONT[[#This Row],[Tarifa (R$/há)]]*TAB_APONT[[#This Row],[há aplicado]]</f>
        <v>5925</v>
      </c>
      <c r="M8" s="42"/>
      <c r="N8" s="35"/>
      <c r="O8" s="35"/>
      <c r="P8" s="35"/>
    </row>
    <row r="9" spans="2:16" x14ac:dyDescent="0.3">
      <c r="B9" s="27"/>
      <c r="C9" s="27"/>
      <c r="D9" s="27"/>
      <c r="E9" s="27"/>
      <c r="F9" s="27"/>
      <c r="G9" s="28" t="s">
        <v>23</v>
      </c>
      <c r="H9" s="28"/>
      <c r="I9" s="29">
        <v>9.58</v>
      </c>
      <c r="J9" s="30"/>
      <c r="K9" s="31">
        <v>90</v>
      </c>
      <c r="L9" s="32">
        <f>TAB_APONT[[#This Row],[Tarifa (R$/há)]]*TAB_APONT[[#This Row],[há aplicado]]</f>
        <v>862.2</v>
      </c>
      <c r="M9" s="33"/>
      <c r="N9" s="34"/>
      <c r="O9" s="35"/>
      <c r="P9" s="35"/>
    </row>
    <row r="10" spans="2:16" x14ac:dyDescent="0.3">
      <c r="B10" s="36"/>
      <c r="C10" s="36"/>
      <c r="D10" s="36"/>
      <c r="E10" s="36"/>
      <c r="F10" s="36" t="s">
        <v>29</v>
      </c>
      <c r="G10" s="37">
        <v>313</v>
      </c>
      <c r="H10" s="37">
        <v>75.400000000000006</v>
      </c>
      <c r="I10" s="43">
        <v>73.58</v>
      </c>
      <c r="J10" s="39"/>
      <c r="K10" s="40">
        <v>90</v>
      </c>
      <c r="L10" s="41">
        <f>TAB_APONT[[#This Row],[Tarifa (R$/há)]]*TAB_APONT[[#This Row],[há aplicado]]</f>
        <v>6622.2</v>
      </c>
      <c r="M10" s="35"/>
      <c r="N10" s="35"/>
      <c r="O10" s="35"/>
      <c r="P10" s="35"/>
    </row>
    <row r="11" spans="2:16" x14ac:dyDescent="0.3">
      <c r="B11" s="27"/>
      <c r="C11" s="27"/>
      <c r="D11" s="27"/>
      <c r="E11" s="27"/>
      <c r="F11" s="27" t="s">
        <v>31</v>
      </c>
      <c r="G11" s="28" t="s">
        <v>24</v>
      </c>
      <c r="H11" s="28">
        <v>171.55</v>
      </c>
      <c r="I11" s="44">
        <v>80.959999999999994</v>
      </c>
      <c r="J11" s="30"/>
      <c r="K11" s="31">
        <v>90</v>
      </c>
      <c r="L11" s="32">
        <f>TAB_APONT[[#This Row],[Tarifa (R$/há)]]*TAB_APONT[[#This Row],[há aplicado]]</f>
        <v>7286.4</v>
      </c>
      <c r="M11" s="35"/>
      <c r="N11" s="35"/>
      <c r="O11" s="35"/>
      <c r="P11" s="35"/>
    </row>
    <row r="12" spans="2:16" x14ac:dyDescent="0.3">
      <c r="B12" s="36"/>
      <c r="C12" s="36"/>
      <c r="D12" s="36"/>
      <c r="E12" s="36"/>
      <c r="F12" s="36" t="s">
        <v>32</v>
      </c>
      <c r="G12" s="37" t="s">
        <v>25</v>
      </c>
      <c r="H12" s="37">
        <v>66.099999999999994</v>
      </c>
      <c r="I12" s="43">
        <v>15.27</v>
      </c>
      <c r="J12" s="39"/>
      <c r="K12" s="40">
        <v>79</v>
      </c>
      <c r="L12" s="41">
        <f>TAB_APONT[[#This Row],[Tarifa (R$/há)]]*TAB_APONT[[#This Row],[há aplicado]]</f>
        <v>1206.33</v>
      </c>
      <c r="M12" s="35"/>
      <c r="N12" s="35"/>
      <c r="O12" s="35"/>
      <c r="P12" s="35"/>
    </row>
    <row r="13" spans="2:16" x14ac:dyDescent="0.3">
      <c r="B13" s="27"/>
      <c r="C13" s="27"/>
      <c r="D13" s="27"/>
      <c r="E13" s="27"/>
      <c r="F13" s="27" t="s">
        <v>29</v>
      </c>
      <c r="G13" s="28">
        <v>552</v>
      </c>
      <c r="H13" s="28">
        <v>10.54</v>
      </c>
      <c r="I13" s="44">
        <v>3.1</v>
      </c>
      <c r="J13" s="30"/>
      <c r="K13" s="31">
        <v>79</v>
      </c>
      <c r="L13" s="32">
        <f>TAB_APONT[[#This Row],[Tarifa (R$/há)]]*TAB_APONT[[#This Row],[há aplicado]]</f>
        <v>244.9</v>
      </c>
      <c r="M13" s="35"/>
      <c r="N13" s="35"/>
      <c r="O13" s="35"/>
      <c r="P13" s="35"/>
    </row>
    <row r="14" spans="2:16" x14ac:dyDescent="0.3">
      <c r="B14" s="36"/>
      <c r="C14" s="36"/>
      <c r="D14" s="36"/>
      <c r="E14" s="36"/>
      <c r="F14" s="36" t="s">
        <v>29</v>
      </c>
      <c r="G14" s="37">
        <v>548</v>
      </c>
      <c r="H14" s="37">
        <v>31.61</v>
      </c>
      <c r="I14" s="43">
        <v>7.9</v>
      </c>
      <c r="J14" s="39"/>
      <c r="K14" s="40">
        <v>79</v>
      </c>
      <c r="L14" s="41">
        <f>TAB_APONT[[#This Row],[Tarifa (R$/há)]]*TAB_APONT[[#This Row],[há aplicado]]</f>
        <v>624.1</v>
      </c>
      <c r="M14" s="42"/>
      <c r="N14" s="35"/>
      <c r="O14" s="35"/>
      <c r="P14" s="35"/>
    </row>
    <row r="15" spans="2:16" x14ac:dyDescent="0.3">
      <c r="B15" s="27"/>
      <c r="C15" s="27"/>
      <c r="D15" s="27"/>
      <c r="E15" s="27"/>
      <c r="F15" s="27" t="s">
        <v>29</v>
      </c>
      <c r="G15" s="74">
        <v>551</v>
      </c>
      <c r="H15" s="74">
        <v>38.24</v>
      </c>
      <c r="I15" s="44">
        <v>7.9</v>
      </c>
      <c r="J15" s="30"/>
      <c r="K15" s="31">
        <v>79</v>
      </c>
      <c r="L15" s="32">
        <f>TAB_APONT[[#This Row],[Tarifa (R$/há)]]*TAB_APONT[[#This Row],[há aplicado]]</f>
        <v>624.1</v>
      </c>
      <c r="M15" s="45"/>
      <c r="N15" s="46"/>
      <c r="O15" s="46"/>
      <c r="P15" s="46"/>
    </row>
    <row r="16" spans="2:16" x14ac:dyDescent="0.3">
      <c r="B16" s="36"/>
      <c r="C16" s="36"/>
      <c r="D16" s="36"/>
      <c r="E16" s="36"/>
      <c r="F16" s="36" t="s">
        <v>29</v>
      </c>
      <c r="G16" s="37">
        <v>543</v>
      </c>
      <c r="H16" s="37">
        <v>40.29</v>
      </c>
      <c r="I16" s="38">
        <v>15.8</v>
      </c>
      <c r="J16" s="39"/>
      <c r="K16" s="40">
        <v>88</v>
      </c>
      <c r="L16" s="41">
        <f>TAB_APONT[[#This Row],[Tarifa (R$/há)]]*TAB_APONT[[#This Row],[há aplicado]]</f>
        <v>1390.4</v>
      </c>
      <c r="M16" s="42"/>
      <c r="N16" s="35"/>
      <c r="O16" s="35"/>
      <c r="P16" s="35"/>
    </row>
    <row r="17" spans="2:16" x14ac:dyDescent="0.3">
      <c r="B17" s="27"/>
      <c r="C17" s="27"/>
      <c r="D17" s="27"/>
      <c r="E17" s="27"/>
      <c r="F17" s="47" t="s">
        <v>29</v>
      </c>
      <c r="G17" s="48">
        <v>550</v>
      </c>
      <c r="H17" s="48">
        <v>32.46</v>
      </c>
      <c r="I17" s="49">
        <v>10</v>
      </c>
      <c r="J17" s="50"/>
      <c r="K17" s="31">
        <v>85</v>
      </c>
      <c r="L17" s="32">
        <f>TAB_APONT[[#This Row],[Tarifa (R$/há)]]*TAB_APONT[[#This Row],[há aplicado]]</f>
        <v>850</v>
      </c>
      <c r="M17" s="42"/>
      <c r="N17" s="35"/>
      <c r="O17" s="35"/>
      <c r="P17" s="35"/>
    </row>
    <row r="18" spans="2:16" x14ac:dyDescent="0.3">
      <c r="B18" s="36"/>
      <c r="C18" s="36"/>
      <c r="D18" s="36"/>
      <c r="E18" s="36"/>
      <c r="F18" s="51" t="s">
        <v>30</v>
      </c>
      <c r="G18" s="52">
        <v>545</v>
      </c>
      <c r="H18" s="52">
        <v>38.49</v>
      </c>
      <c r="I18" s="53">
        <v>15.2</v>
      </c>
      <c r="J18" s="54"/>
      <c r="K18" s="40">
        <v>88</v>
      </c>
      <c r="L18" s="41">
        <f>TAB_APONT[[#This Row],[Tarifa (R$/há)]]*TAB_APONT[[#This Row],[há aplicado]]</f>
        <v>1337.6</v>
      </c>
      <c r="M18" s="42"/>
      <c r="N18" s="35"/>
      <c r="O18" s="35"/>
      <c r="P18" s="35"/>
    </row>
    <row r="19" spans="2:16" x14ac:dyDescent="0.3">
      <c r="B19" s="27"/>
      <c r="C19" s="27"/>
      <c r="D19" s="27"/>
      <c r="E19" s="27"/>
      <c r="F19" s="47" t="s">
        <v>30</v>
      </c>
      <c r="G19" s="48">
        <v>546</v>
      </c>
      <c r="H19" s="48">
        <v>36.03</v>
      </c>
      <c r="I19" s="49">
        <v>13.1</v>
      </c>
      <c r="J19" s="50"/>
      <c r="K19" s="31">
        <v>88</v>
      </c>
      <c r="L19" s="32">
        <f>TAB_APONT[[#This Row],[Tarifa (R$/há)]]*TAB_APONT[[#This Row],[há aplicado]]</f>
        <v>1152.8</v>
      </c>
      <c r="M19" s="42"/>
      <c r="N19" s="35"/>
      <c r="O19" s="35"/>
      <c r="P19" s="35"/>
    </row>
    <row r="20" spans="2:16" x14ac:dyDescent="0.3">
      <c r="B20" s="36"/>
      <c r="C20" s="36"/>
      <c r="D20" s="36"/>
      <c r="E20" s="36"/>
      <c r="F20" s="51" t="s">
        <v>30</v>
      </c>
      <c r="G20" s="52">
        <v>544</v>
      </c>
      <c r="H20" s="52">
        <v>43.67</v>
      </c>
      <c r="I20" s="53">
        <v>14.9</v>
      </c>
      <c r="J20" s="54"/>
      <c r="K20" s="40">
        <v>88</v>
      </c>
      <c r="L20" s="41">
        <f>TAB_APONT[[#This Row],[Tarifa (R$/há)]]*TAB_APONT[[#This Row],[há aplicado]]</f>
        <v>1311.2</v>
      </c>
      <c r="M20" s="42"/>
      <c r="N20" s="35"/>
      <c r="O20" s="35"/>
      <c r="P20" s="35"/>
    </row>
    <row r="21" spans="2:16" x14ac:dyDescent="0.3">
      <c r="B21" s="47"/>
      <c r="C21" s="27"/>
      <c r="D21" s="27"/>
      <c r="E21" s="27"/>
      <c r="F21" s="47" t="s">
        <v>29</v>
      </c>
      <c r="G21" s="48">
        <v>547</v>
      </c>
      <c r="H21" s="48">
        <v>41.64</v>
      </c>
      <c r="I21" s="49">
        <v>8.9</v>
      </c>
      <c r="J21" s="50"/>
      <c r="K21" s="31">
        <v>79</v>
      </c>
      <c r="L21" s="32">
        <f>TAB_APONT[[#This Row],[Tarifa (R$/há)]]*TAB_APONT[[#This Row],[há aplicado]]</f>
        <v>703.1</v>
      </c>
      <c r="M21" s="42"/>
      <c r="N21" s="35"/>
      <c r="O21" s="35"/>
      <c r="P21" s="35"/>
    </row>
    <row r="22" spans="2:16" x14ac:dyDescent="0.3">
      <c r="B22" s="51"/>
      <c r="C22" s="36"/>
      <c r="D22" s="36"/>
      <c r="E22" s="36"/>
      <c r="F22" s="51" t="s">
        <v>33</v>
      </c>
      <c r="G22" s="52">
        <v>179</v>
      </c>
      <c r="H22" s="52">
        <v>34.08</v>
      </c>
      <c r="I22" s="53">
        <v>33.700000000000003</v>
      </c>
      <c r="J22" s="54"/>
      <c r="K22" s="40">
        <v>79</v>
      </c>
      <c r="L22" s="41">
        <f>TAB_APONT[[#This Row],[Tarifa (R$/há)]]*TAB_APONT[[#This Row],[há aplicado]]</f>
        <v>2662.3</v>
      </c>
      <c r="M22" s="42"/>
      <c r="N22" s="35"/>
      <c r="O22" s="35"/>
      <c r="P22" s="35"/>
    </row>
    <row r="23" spans="2:16" x14ac:dyDescent="0.3">
      <c r="B23" s="47"/>
      <c r="C23" s="27"/>
      <c r="D23" s="27"/>
      <c r="E23" s="27"/>
      <c r="F23" s="47" t="s">
        <v>29</v>
      </c>
      <c r="G23" s="48">
        <v>266</v>
      </c>
      <c r="H23" s="48">
        <v>48.21</v>
      </c>
      <c r="I23" s="49">
        <v>16.7</v>
      </c>
      <c r="J23" s="50"/>
      <c r="K23" s="31">
        <v>88</v>
      </c>
      <c r="L23" s="32">
        <f>TAB_APONT[[#This Row],[Tarifa (R$/há)]]*TAB_APONT[[#This Row],[há aplicado]]</f>
        <v>1469.6</v>
      </c>
      <c r="M23" s="42"/>
      <c r="N23" s="35"/>
      <c r="O23" s="35"/>
      <c r="P23" s="35"/>
    </row>
    <row r="24" spans="2:16" x14ac:dyDescent="0.3">
      <c r="B24" s="51"/>
      <c r="C24" s="36"/>
      <c r="D24" s="36"/>
      <c r="E24" s="36"/>
      <c r="F24" s="51" t="s">
        <v>29</v>
      </c>
      <c r="G24" s="52">
        <v>264</v>
      </c>
      <c r="H24" s="52">
        <v>58.02</v>
      </c>
      <c r="I24" s="53">
        <v>9.1</v>
      </c>
      <c r="J24" s="54"/>
      <c r="K24" s="40">
        <v>88</v>
      </c>
      <c r="L24" s="41">
        <f>TAB_APONT[[#This Row],[Tarifa (R$/há)]]*TAB_APONT[[#This Row],[há aplicado]]</f>
        <v>800.8</v>
      </c>
      <c r="M24" s="42"/>
      <c r="N24" s="35"/>
      <c r="O24" s="35"/>
      <c r="P24" s="35"/>
    </row>
    <row r="25" spans="2:16" x14ac:dyDescent="0.3">
      <c r="B25" s="47"/>
      <c r="C25" s="27"/>
      <c r="D25" s="27"/>
      <c r="E25" s="27"/>
      <c r="F25" s="47" t="s">
        <v>30</v>
      </c>
      <c r="G25" s="48">
        <v>345</v>
      </c>
      <c r="H25" s="48">
        <v>43.56</v>
      </c>
      <c r="I25" s="49">
        <v>33.200000000000003</v>
      </c>
      <c r="J25" s="50"/>
      <c r="K25" s="31">
        <v>79</v>
      </c>
      <c r="L25" s="32">
        <f>TAB_APONT[[#This Row],[Tarifa (R$/há)]]*TAB_APONT[[#This Row],[há aplicado]]</f>
        <v>2622.8</v>
      </c>
      <c r="M25" s="42"/>
      <c r="N25" s="35"/>
      <c r="O25" s="35"/>
      <c r="P25" s="35"/>
    </row>
    <row r="26" spans="2:16" x14ac:dyDescent="0.3">
      <c r="B26" s="51"/>
      <c r="C26" s="36"/>
      <c r="D26" s="36"/>
      <c r="E26" s="36"/>
      <c r="F26" s="51" t="s">
        <v>30</v>
      </c>
      <c r="G26" s="52" t="s">
        <v>26</v>
      </c>
      <c r="H26" s="52">
        <v>69.86</v>
      </c>
      <c r="I26" s="53">
        <v>69.86</v>
      </c>
      <c r="J26" s="54"/>
      <c r="K26" s="40">
        <v>79</v>
      </c>
      <c r="L26" s="41">
        <f>TAB_APONT[[#This Row],[Tarifa (R$/há)]]*TAB_APONT[[#This Row],[há aplicado]]</f>
        <v>5518.94</v>
      </c>
      <c r="M26" s="42"/>
      <c r="N26" s="35"/>
      <c r="O26" s="35"/>
      <c r="P26" s="35"/>
    </row>
    <row r="27" spans="2:16" x14ac:dyDescent="0.3">
      <c r="B27" s="47" t="s">
        <v>18</v>
      </c>
      <c r="C27" s="27"/>
      <c r="D27" s="27"/>
      <c r="E27" s="27"/>
      <c r="F27" s="47"/>
      <c r="G27" s="48"/>
      <c r="H27" s="48"/>
      <c r="I27" s="49"/>
      <c r="J27" s="50"/>
      <c r="K27" s="76"/>
      <c r="L27" s="32">
        <v>2770</v>
      </c>
      <c r="M27" s="42"/>
      <c r="N27" s="35"/>
      <c r="O27" s="35"/>
      <c r="P27" s="35"/>
    </row>
    <row r="28" spans="2:16" x14ac:dyDescent="0.3">
      <c r="B28" s="55" t="s">
        <v>19</v>
      </c>
      <c r="C28" s="56" t="s">
        <v>27</v>
      </c>
      <c r="D28" s="56"/>
      <c r="E28" s="56"/>
      <c r="F28" s="55"/>
      <c r="G28" s="57"/>
      <c r="H28" s="57">
        <v>157</v>
      </c>
      <c r="I28" s="58"/>
      <c r="J28" s="59"/>
      <c r="K28" s="60">
        <v>5.85</v>
      </c>
      <c r="L28" s="61">
        <f>-TAB_APONT[[#This Row],[há total]]*TAB_APONT[[#This Row],[Tarifa (R$/há)]]</f>
        <v>-918.44999999999993</v>
      </c>
      <c r="M28" s="62">
        <f>-TAB_APONT[[#This Row],[há aplicado]]*TAB_APONT[[#This Row],[Valor Total]]</f>
        <v>0</v>
      </c>
      <c r="N28" s="62">
        <f>-TAB_APONT[[#This Row],[Data Início]]*TAB_APONT[[#This Row],[Insumos]]</f>
        <v>0</v>
      </c>
      <c r="O28" s="62">
        <f>-TAB_APONT[[#This Row],[Tarifa (R$/há)]]*TAB_APONT[[#This Row],[Qtde ]]</f>
        <v>0</v>
      </c>
      <c r="P28" s="62">
        <f>-TAB_APONT[[#This Row],[Valor Total]]*TAB_APONT[[#This Row],[Recomendação2]]</f>
        <v>0</v>
      </c>
    </row>
    <row r="29" spans="2:16" x14ac:dyDescent="0.3">
      <c r="B29" s="63"/>
      <c r="C29" s="75" t="s">
        <v>28</v>
      </c>
      <c r="D29" s="27"/>
      <c r="E29" s="27"/>
      <c r="F29" s="63"/>
      <c r="G29" s="64"/>
      <c r="H29" s="64">
        <v>223</v>
      </c>
      <c r="I29" s="65"/>
      <c r="J29" s="66"/>
      <c r="K29" s="67">
        <v>6.19</v>
      </c>
      <c r="L29" s="62">
        <f>-TAB_APONT[[#This Row],[há total]]*TAB_APONT[[#This Row],[Tarifa (R$/há)]]</f>
        <v>-1380.3700000000001</v>
      </c>
      <c r="M29" s="45"/>
      <c r="N29" s="46"/>
      <c r="O29" s="46"/>
      <c r="P29" s="46"/>
    </row>
    <row r="30" spans="2:16" x14ac:dyDescent="0.3">
      <c r="B30" s="68"/>
      <c r="C30" s="68"/>
      <c r="D30" s="69"/>
      <c r="E30" s="69"/>
      <c r="F30" s="68"/>
      <c r="G30" s="70"/>
      <c r="H30" s="70"/>
      <c r="I30" s="70">
        <f>SUBTOTAL(109,TAB_APONT[há aplicado])</f>
        <v>672.32</v>
      </c>
      <c r="J30" s="71"/>
      <c r="K30" s="68"/>
      <c r="L30" s="72">
        <f>SUBTOTAL(109,TAB_APONT[Valor Total])</f>
        <v>56212.98000000001</v>
      </c>
      <c r="M30" s="42"/>
      <c r="N30" s="35"/>
      <c r="O30" s="35"/>
      <c r="P30" s="35"/>
    </row>
    <row r="35" spans="9:9" x14ac:dyDescent="0.3">
      <c r="I35" s="73"/>
    </row>
    <row r="36" spans="9:9" x14ac:dyDescent="0.3">
      <c r="I36" s="73"/>
    </row>
    <row r="37" spans="9:9" x14ac:dyDescent="0.3">
      <c r="I37" s="7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2026-07-31T16:29:05Z</dcterms:modified>
</cp:coreProperties>
</file>