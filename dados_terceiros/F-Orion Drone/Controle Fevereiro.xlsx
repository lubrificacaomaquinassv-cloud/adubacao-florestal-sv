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V:\Usuários\Florestal 2026\TERCEIROS\F-Orion Drone\"/>
    </mc:Choice>
  </mc:AlternateContent>
  <xr:revisionPtr revIDLastSave="0" documentId="13_ncr:1_{DC699116-3245-46FF-962C-0411A70D2E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one Feverei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L15" i="1"/>
  <c r="L7" i="1"/>
  <c r="L8" i="1"/>
  <c r="L9" i="1"/>
  <c r="L10" i="1"/>
  <c r="L11" i="1"/>
  <c r="L12" i="1"/>
  <c r="L13" i="1"/>
  <c r="L14" i="1"/>
  <c r="L16" i="1" l="1"/>
</calcChain>
</file>

<file path=xl/sharedStrings.xml><?xml version="1.0" encoding="utf-8"?>
<sst xmlns="http://schemas.openxmlformats.org/spreadsheetml/2006/main" count="61" uniqueCount="40">
  <si>
    <t xml:space="preserve">Operação Realizada </t>
  </si>
  <si>
    <t>Talhão</t>
  </si>
  <si>
    <t>Data Início</t>
  </si>
  <si>
    <t>Valor Total</t>
  </si>
  <si>
    <t>Insumos</t>
  </si>
  <si>
    <t xml:space="preserve">Qtde </t>
  </si>
  <si>
    <t>Recomendação</t>
  </si>
  <si>
    <t>Observação</t>
  </si>
  <si>
    <t>F-ORION Tecnologia de Aplicação</t>
  </si>
  <si>
    <t>Prestação de Serviços - Santa Vergínia Agropecuária e Florestal LTDA</t>
  </si>
  <si>
    <t>Desseca</t>
  </si>
  <si>
    <t>Horto</t>
  </si>
  <si>
    <t>Eucalipto</t>
  </si>
  <si>
    <t>Água Branca</t>
  </si>
  <si>
    <t>há total</t>
  </si>
  <si>
    <t>há aplicado</t>
  </si>
  <si>
    <t>Tarifa (R$/há)</t>
  </si>
  <si>
    <t>Período: Fevereiro / 2026</t>
  </si>
  <si>
    <t>Produto</t>
  </si>
  <si>
    <t>Crucial + Atumus</t>
  </si>
  <si>
    <t xml:space="preserve">Semente </t>
  </si>
  <si>
    <t xml:space="preserve">Controle de Formiga </t>
  </si>
  <si>
    <t>Controle de Formiga</t>
  </si>
  <si>
    <t>Recomendação2</t>
  </si>
  <si>
    <t>3,0 + 0,05 / há</t>
  </si>
  <si>
    <t>8 kg / há</t>
  </si>
  <si>
    <t xml:space="preserve">8 kg / há </t>
  </si>
  <si>
    <t>0,1 kg / há</t>
  </si>
  <si>
    <t>Volume de Calda</t>
  </si>
  <si>
    <t xml:space="preserve">20 l/há </t>
  </si>
  <si>
    <t>20l/há</t>
  </si>
  <si>
    <t>15 l/há</t>
  </si>
  <si>
    <t>n/a</t>
  </si>
  <si>
    <t>Semeio de Braquiária</t>
  </si>
  <si>
    <t>Abastecimento</t>
  </si>
  <si>
    <t>Gasolina</t>
  </si>
  <si>
    <t>Fevereiro</t>
  </si>
  <si>
    <t>Crucial +Tuit + Atumus</t>
  </si>
  <si>
    <t>Tuit Florestal</t>
  </si>
  <si>
    <t>Controle de Formigas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</si>
</sst>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b/>
      <sz val="1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i/>
      <sz val="11"/>
      <color rgb="FF002060"/>
      <name val="Calibri"/>
      <family val="2"/>
    </font>
    <font>
      <i/>
      <sz val="11"/>
      <color theme="0"/>
      <name val="Calibri"/>
      <family val="2"/>
    </font>
    <font>
      <b/>
      <sz val="14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i/>
      <sz val="11"/>
      <color rgb="FFC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3355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 applyAlignment="1">
      <alignment vertical="center"/>
    </xf>
    <xf numFmtId="16" fontId="3" fillId="0" borderId="0" xfId="0" applyNumberFormat="1" applyFont="1" applyAlignment="1">
      <alignment vertical="center"/>
    </xf>
    <xf numFmtId="44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4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44" fontId="5" fillId="0" borderId="0" xfId="0" applyNumberFormat="1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4" fontId="6" fillId="3" borderId="0" xfId="0" applyNumberFormat="1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0" borderId="0" xfId="0" applyFont="1"/>
    <xf numFmtId="1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20" fontId="8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6" fillId="3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44" fontId="2" fillId="2" borderId="5" xfId="1" applyFont="1" applyFill="1" applyBorder="1" applyAlignment="1">
      <alignment horizontal="center" vertical="center" wrapText="1"/>
    </xf>
    <xf numFmtId="1" fontId="9" fillId="5" borderId="5" xfId="0" applyNumberFormat="1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2" fontId="9" fillId="5" borderId="5" xfId="0" applyNumberFormat="1" applyFont="1" applyFill="1" applyBorder="1" applyAlignment="1">
      <alignment horizontal="center" vertical="center"/>
    </xf>
    <xf numFmtId="14" fontId="9" fillId="5" borderId="5" xfId="0" applyNumberFormat="1" applyFont="1" applyFill="1" applyBorder="1" applyAlignment="1">
      <alignment horizontal="center" vertical="center"/>
    </xf>
    <xf numFmtId="44" fontId="9" fillId="5" borderId="5" xfId="1" applyFont="1" applyFill="1" applyBorder="1" applyAlignment="1">
      <alignment horizontal="center"/>
    </xf>
    <xf numFmtId="1" fontId="9" fillId="0" borderId="5" xfId="0" applyNumberFormat="1" applyFont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/>
    </xf>
    <xf numFmtId="44" fontId="9" fillId="0" borderId="5" xfId="1" applyFont="1" applyFill="1" applyBorder="1" applyAlignment="1">
      <alignment horizontal="center"/>
    </xf>
    <xf numFmtId="1" fontId="8" fillId="0" borderId="4" xfId="0" applyNumberFormat="1" applyFont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1" fontId="10" fillId="6" borderId="6" xfId="0" applyNumberFormat="1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14" fontId="10" fillId="6" borderId="6" xfId="0" applyNumberFormat="1" applyFont="1" applyFill="1" applyBorder="1" applyAlignment="1">
      <alignment horizontal="center" vertical="center"/>
    </xf>
    <xf numFmtId="44" fontId="10" fillId="6" borderId="6" xfId="0" applyNumberFormat="1" applyFont="1" applyFill="1" applyBorder="1" applyAlignment="1">
      <alignment horizontal="center"/>
    </xf>
    <xf numFmtId="20" fontId="11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20" fontId="13" fillId="0" borderId="0" xfId="0" applyNumberFormat="1" applyFont="1" applyAlignment="1">
      <alignment vertical="center"/>
    </xf>
    <xf numFmtId="0" fontId="0" fillId="6" borderId="0" xfId="0" applyFill="1"/>
    <xf numFmtId="44" fontId="14" fillId="5" borderId="5" xfId="1" applyFont="1" applyFill="1" applyBorder="1" applyAlignment="1">
      <alignment horizontal="center"/>
    </xf>
    <xf numFmtId="1" fontId="14" fillId="5" borderId="6" xfId="0" applyNumberFormat="1" applyFont="1" applyFill="1" applyBorder="1" applyAlignment="1">
      <alignment horizontal="center" vertical="center"/>
    </xf>
    <xf numFmtId="1" fontId="14" fillId="5" borderId="5" xfId="0" applyNumberFormat="1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2" fontId="14" fillId="5" borderId="6" xfId="0" applyNumberFormat="1" applyFont="1" applyFill="1" applyBorder="1" applyAlignment="1">
      <alignment horizontal="center" vertical="center"/>
    </xf>
    <xf numFmtId="14" fontId="14" fillId="5" borderId="6" xfId="0" applyNumberFormat="1" applyFont="1" applyFill="1" applyBorder="1" applyAlignment="1">
      <alignment horizontal="center" vertical="center"/>
    </xf>
    <xf numFmtId="164" fontId="9" fillId="5" borderId="5" xfId="0" applyNumberFormat="1" applyFont="1" applyFill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/>
    </xf>
    <xf numFmtId="164" fontId="14" fillId="5" borderId="6" xfId="0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9" formatCode="dd/mm/yyyy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00206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rgb="FF00206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medium">
          <color auto="1"/>
        </left>
        <top style="medium">
          <color auto="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388619</xdr:colOff>
      <xdr:row>0</xdr:row>
      <xdr:rowOff>68580</xdr:rowOff>
    </xdr:from>
    <xdr:to>
      <xdr:col>1</xdr:col>
      <xdr:colOff>1478280</xdr:colOff>
      <xdr:row>4</xdr:row>
      <xdr:rowOff>142763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9ED7523-43AE-EF03-C360-C240D5073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19" y="68580"/>
          <a:ext cx="1485901" cy="1034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41D003-20BB-4A85-BC0D-5B05B1BF1EE0}" name="TAB_APONT" displayName="TAB_APONT" ref="B6:P16" totalsRowCount="1" headerRowDxfId="25" dataDxfId="24" tableBorderDxfId="23">
  <autoFilter ref="B6:P15" xr:uid="{6141D003-20BB-4A85-BC0D-5B05B1BF1EE0}"/>
  <tableColumns count="15">
    <tableColumn id="2" xr3:uid="{2ADB0595-15CF-4203-A4EF-8FBF87F1BB7A}" name="Operação Realizada " totalsRowDxfId="12"/>
    <tableColumn id="6" xr3:uid="{98193708-B7F1-46C4-A8BA-C2583152A9AE}" name="Produto" dataDxfId="22" totalsRowDxfId="11"/>
    <tableColumn id="10" xr3:uid="{78F64CFF-73EB-4D9F-866D-CCE030CA3678}" name="Recomendação" dataDxfId="21" totalsRowDxfId="20"/>
    <tableColumn id="11" xr3:uid="{A2EAF4A2-21E6-4DEE-B74E-47C1BB350650}" name="Volume de Calda" dataDxfId="19" totalsRowDxfId="18"/>
    <tableColumn id="3" xr3:uid="{28052252-C3B0-4FC8-BA24-A4B3B357CBFC}" name="Horto" totalsRowDxfId="10"/>
    <tableColumn id="5" xr3:uid="{6BC89532-DC58-4951-B919-62EFEE13A60C}" name="Talhão" totalsRowDxfId="9"/>
    <tableColumn id="7" xr3:uid="{2FBD8A26-7B71-481F-BE8C-84149113156C}" name="há total" totalsRowFunction="sum" totalsRowDxfId="8"/>
    <tableColumn id="4" xr3:uid="{D3FD8EFC-FEB7-4756-A08E-42FE64D429EC}" name="há aplicado" totalsRowDxfId="7"/>
    <tableColumn id="9" xr3:uid="{D1B0D88C-AFF3-45A8-9F0C-577F8FCBC4EB}" name="Data Início" totalsRowDxfId="6"/>
    <tableColumn id="15" xr3:uid="{76F1237D-51D3-465E-B0F6-12C1A537F793}" name="Tarifa (R$/há)" totalsRowDxfId="5"/>
    <tableColumn id="8" xr3:uid="{6055831F-735E-4685-A88E-F8651F036055}" name="Valor Total" totalsRowFunction="sum" dataDxfId="17" totalsRowDxfId="4">
      <calculatedColumnFormula>TAB_APONT[[#This Row],[Tarifa (R$/há)]]*TAB_APONT[[#This Row],[há aplicado]]</calculatedColumnFormula>
    </tableColumn>
    <tableColumn id="13" xr3:uid="{F2846447-4F94-46E0-A131-F189020C928C}" name="Insumos" dataDxfId="16" totalsRowDxfId="3"/>
    <tableColumn id="14" xr3:uid="{79CEE117-A25D-4868-9A80-6EE8D4B6D4C1}" name="Qtde " dataDxfId="15" totalsRowDxfId="2"/>
    <tableColumn id="18" xr3:uid="{246657FA-8A98-4699-BCC6-F34AA98C8903}" name="Recomendação2" dataDxfId="14" totalsRowDxfId="1"/>
    <tableColumn id="19" xr3:uid="{6178B2B9-792A-49E8-95C3-CAE0F6E47C2B}" name="Observação" dataDxfId="13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2:P16"/>
  <sheetViews>
    <sheetView showGridLines="0" tabSelected="1" workbookViewId="0">
      <selection activeCell="D22" sqref="D22"/>
    </sheetView>
  </sheetViews>
  <sheetFormatPr defaultColWidth="24.109375" defaultRowHeight="14.4" x14ac:dyDescent="0.3"/>
  <cols>
    <col min="1" max="1" width="5.77734375" customWidth="1"/>
    <col min="2" max="2" width="25.88671875" customWidth="1"/>
    <col min="3" max="5" width="18.77734375" customWidth="1"/>
    <col min="6" max="6" width="18.77734375" style="16" customWidth="1"/>
    <col min="7" max="9" width="13.77734375" customWidth="1"/>
    <col min="10" max="10" width="13.77734375" style="17" customWidth="1"/>
    <col min="11" max="11" width="16.77734375" style="18" customWidth="1"/>
    <col min="12" max="12" width="16.88671875" style="19" customWidth="1"/>
    <col min="13" max="13" width="60.88671875" hidden="1" customWidth="1"/>
    <col min="14" max="14" width="48.44140625" hidden="1" customWidth="1"/>
    <col min="15" max="16" width="0" hidden="1" customWidth="1"/>
  </cols>
  <sheetData>
    <row r="2" spans="2:16" ht="15.6" x14ac:dyDescent="0.3">
      <c r="C2" s="44" t="s">
        <v>8</v>
      </c>
      <c r="D2" s="44"/>
      <c r="E2" s="44"/>
    </row>
    <row r="3" spans="2:16" ht="22.8" x14ac:dyDescent="0.3">
      <c r="C3" s="44" t="s">
        <v>9</v>
      </c>
      <c r="D3" s="44"/>
      <c r="E3" s="44"/>
      <c r="F3" s="1"/>
      <c r="G3" s="1"/>
      <c r="H3" s="1"/>
      <c r="I3" s="1"/>
      <c r="J3" s="1"/>
      <c r="K3" s="2"/>
      <c r="L3" s="3"/>
    </row>
    <row r="4" spans="2:16" ht="22.8" x14ac:dyDescent="0.3">
      <c r="C4" s="45" t="s">
        <v>17</v>
      </c>
      <c r="D4" s="45"/>
      <c r="E4" s="45"/>
      <c r="F4" s="1"/>
      <c r="G4" s="1"/>
      <c r="H4" s="1"/>
      <c r="I4" s="1"/>
      <c r="J4" s="1"/>
      <c r="K4" s="2"/>
      <c r="L4" s="3"/>
    </row>
    <row r="5" spans="2:16" ht="17.399999999999999" x14ac:dyDescent="0.3">
      <c r="F5" s="43"/>
      <c r="G5" s="4"/>
      <c r="H5" s="5"/>
      <c r="I5" s="5"/>
      <c r="J5" s="6"/>
      <c r="K5" s="7"/>
      <c r="L5" s="8"/>
    </row>
    <row r="6" spans="2:16" s="12" customFormat="1" x14ac:dyDescent="0.3">
      <c r="B6" s="38" t="s">
        <v>0</v>
      </c>
      <c r="C6" s="38" t="s">
        <v>18</v>
      </c>
      <c r="D6" s="38" t="s">
        <v>6</v>
      </c>
      <c r="E6" s="38" t="s">
        <v>28</v>
      </c>
      <c r="F6" s="21" t="s">
        <v>11</v>
      </c>
      <c r="G6" s="21" t="s">
        <v>1</v>
      </c>
      <c r="H6" s="21" t="s">
        <v>14</v>
      </c>
      <c r="I6" s="22" t="s">
        <v>15</v>
      </c>
      <c r="J6" s="23" t="s">
        <v>2</v>
      </c>
      <c r="K6" s="24" t="s">
        <v>16</v>
      </c>
      <c r="L6" s="25" t="s">
        <v>3</v>
      </c>
      <c r="M6" s="20" t="s">
        <v>4</v>
      </c>
      <c r="N6" s="9" t="s">
        <v>5</v>
      </c>
      <c r="O6" s="10" t="s">
        <v>23</v>
      </c>
      <c r="P6" s="11" t="s">
        <v>7</v>
      </c>
    </row>
    <row r="7" spans="2:16" x14ac:dyDescent="0.3">
      <c r="B7" s="26" t="s">
        <v>10</v>
      </c>
      <c r="C7" s="26" t="s">
        <v>19</v>
      </c>
      <c r="D7" s="26" t="s">
        <v>24</v>
      </c>
      <c r="E7" s="26" t="s">
        <v>29</v>
      </c>
      <c r="F7" s="26" t="s">
        <v>12</v>
      </c>
      <c r="G7" s="27">
        <v>222</v>
      </c>
      <c r="H7" s="27">
        <v>55.46</v>
      </c>
      <c r="I7" s="28">
        <v>55.46</v>
      </c>
      <c r="J7" s="29">
        <v>46058</v>
      </c>
      <c r="K7" s="53">
        <v>75</v>
      </c>
      <c r="L7" s="30">
        <f>TAB_APONT[[#This Row],[Tarifa (R$/há)]]*TAB_APONT[[#This Row],[há aplicado]]</f>
        <v>4159.5</v>
      </c>
      <c r="M7" s="15"/>
      <c r="N7" s="14"/>
      <c r="O7" s="13"/>
      <c r="P7" s="13"/>
    </row>
    <row r="8" spans="2:16" x14ac:dyDescent="0.3">
      <c r="B8" s="31" t="s">
        <v>10</v>
      </c>
      <c r="C8" s="31" t="s">
        <v>19</v>
      </c>
      <c r="D8" s="31" t="s">
        <v>24</v>
      </c>
      <c r="E8" s="31" t="s">
        <v>30</v>
      </c>
      <c r="F8" s="31" t="s">
        <v>12</v>
      </c>
      <c r="G8" s="32">
        <v>223</v>
      </c>
      <c r="H8" s="33">
        <v>58.34</v>
      </c>
      <c r="I8" s="34">
        <v>58.34</v>
      </c>
      <c r="J8" s="35">
        <v>46060</v>
      </c>
      <c r="K8" s="54">
        <v>75</v>
      </c>
      <c r="L8" s="36">
        <f>TAB_APONT[[#This Row],[Tarifa (R$/há)]]*TAB_APONT[[#This Row],[há aplicado]]</f>
        <v>4375.5</v>
      </c>
      <c r="M8" s="15"/>
      <c r="N8" s="14"/>
      <c r="O8" s="13"/>
      <c r="P8" s="13"/>
    </row>
    <row r="9" spans="2:16" x14ac:dyDescent="0.3">
      <c r="B9" s="26" t="s">
        <v>10</v>
      </c>
      <c r="C9" s="26" t="s">
        <v>37</v>
      </c>
      <c r="D9" s="26" t="s">
        <v>24</v>
      </c>
      <c r="E9" s="26" t="s">
        <v>30</v>
      </c>
      <c r="F9" s="26" t="s">
        <v>12</v>
      </c>
      <c r="G9" s="27">
        <v>347</v>
      </c>
      <c r="H9" s="27">
        <v>30.01</v>
      </c>
      <c r="I9" s="28">
        <v>30.01</v>
      </c>
      <c r="J9" s="29">
        <v>46069</v>
      </c>
      <c r="K9" s="53">
        <v>75</v>
      </c>
      <c r="L9" s="30">
        <f>TAB_APONT[[#This Row],[Tarifa (R$/há)]]*TAB_APONT[[#This Row],[há aplicado]]</f>
        <v>2250.75</v>
      </c>
      <c r="M9" s="13"/>
      <c r="N9" s="13"/>
      <c r="O9" s="13"/>
      <c r="P9" s="13"/>
    </row>
    <row r="10" spans="2:16" x14ac:dyDescent="0.3">
      <c r="B10" s="31" t="s">
        <v>33</v>
      </c>
      <c r="C10" s="31" t="s">
        <v>20</v>
      </c>
      <c r="D10" s="31" t="s">
        <v>25</v>
      </c>
      <c r="E10" s="31" t="s">
        <v>32</v>
      </c>
      <c r="F10" s="31" t="s">
        <v>13</v>
      </c>
      <c r="G10" s="32">
        <v>235</v>
      </c>
      <c r="H10" s="32">
        <v>72.03</v>
      </c>
      <c r="I10" s="34">
        <v>50.42</v>
      </c>
      <c r="J10" s="35">
        <v>46073</v>
      </c>
      <c r="K10" s="54">
        <v>75</v>
      </c>
      <c r="L10" s="36">
        <f>TAB_APONT[[#This Row],[Tarifa (R$/há)]]*TAB_APONT[[#This Row],[há aplicado]]</f>
        <v>3781.5</v>
      </c>
      <c r="M10" s="13"/>
      <c r="N10" s="13"/>
      <c r="O10" s="13"/>
      <c r="P10" s="13"/>
    </row>
    <row r="11" spans="2:16" x14ac:dyDescent="0.3">
      <c r="B11" s="26" t="s">
        <v>33</v>
      </c>
      <c r="C11" s="26" t="s">
        <v>20</v>
      </c>
      <c r="D11" s="26" t="s">
        <v>26</v>
      </c>
      <c r="E11" s="26" t="s">
        <v>32</v>
      </c>
      <c r="F11" s="26" t="s">
        <v>13</v>
      </c>
      <c r="G11" s="27">
        <v>237</v>
      </c>
      <c r="H11" s="27">
        <v>52.56</v>
      </c>
      <c r="I11" s="28">
        <v>36.79</v>
      </c>
      <c r="J11" s="29">
        <v>46074</v>
      </c>
      <c r="K11" s="53">
        <v>75</v>
      </c>
      <c r="L11" s="30">
        <f>TAB_APONT[[#This Row],[Tarifa (R$/há)]]*TAB_APONT[[#This Row],[há aplicado]]</f>
        <v>2759.25</v>
      </c>
      <c r="M11" s="13"/>
      <c r="N11" s="13"/>
      <c r="O11" s="13"/>
      <c r="P11" s="13"/>
    </row>
    <row r="12" spans="2:16" x14ac:dyDescent="0.3">
      <c r="B12" s="31" t="s">
        <v>21</v>
      </c>
      <c r="C12" s="31" t="s">
        <v>38</v>
      </c>
      <c r="D12" s="31" t="s">
        <v>27</v>
      </c>
      <c r="E12" s="31" t="s">
        <v>31</v>
      </c>
      <c r="F12" s="31" t="s">
        <v>12</v>
      </c>
      <c r="G12" s="32">
        <v>220</v>
      </c>
      <c r="H12" s="32">
        <v>61.01</v>
      </c>
      <c r="I12" s="34">
        <v>61.01</v>
      </c>
      <c r="J12" s="35">
        <v>46080</v>
      </c>
      <c r="K12" s="54">
        <v>50</v>
      </c>
      <c r="L12" s="36">
        <f>TAB_APONT[[#This Row],[Tarifa (R$/há)]]*TAB_APONT[[#This Row],[há aplicado]]</f>
        <v>3050.5</v>
      </c>
      <c r="M12" s="13"/>
      <c r="N12" s="13"/>
      <c r="O12" s="13"/>
      <c r="P12" s="13"/>
    </row>
    <row r="13" spans="2:16" x14ac:dyDescent="0.3">
      <c r="B13" s="26" t="s">
        <v>39</v>
      </c>
      <c r="C13" s="26" t="s">
        <v>38</v>
      </c>
      <c r="D13" s="26" t="s">
        <v>27</v>
      </c>
      <c r="E13" s="26" t="s">
        <v>31</v>
      </c>
      <c r="F13" s="26" t="s">
        <v>12</v>
      </c>
      <c r="G13" s="27">
        <v>221</v>
      </c>
      <c r="H13" s="27">
        <v>49.54</v>
      </c>
      <c r="I13" s="28">
        <v>49.54</v>
      </c>
      <c r="J13" s="29">
        <v>46081</v>
      </c>
      <c r="K13" s="53">
        <v>50</v>
      </c>
      <c r="L13" s="30">
        <f>TAB_APONT[[#This Row],[Tarifa (R$/há)]]*TAB_APONT[[#This Row],[há aplicado]]</f>
        <v>2477</v>
      </c>
      <c r="M13" s="13"/>
      <c r="N13" s="13"/>
      <c r="O13" s="13"/>
      <c r="P13" s="13"/>
    </row>
    <row r="14" spans="2:16" x14ac:dyDescent="0.3">
      <c r="B14" s="31" t="s">
        <v>22</v>
      </c>
      <c r="C14" s="31" t="s">
        <v>38</v>
      </c>
      <c r="D14" s="31" t="s">
        <v>27</v>
      </c>
      <c r="E14" s="31" t="s">
        <v>31</v>
      </c>
      <c r="F14" s="31" t="s">
        <v>12</v>
      </c>
      <c r="G14" s="32">
        <v>222</v>
      </c>
      <c r="H14" s="33">
        <v>55.46</v>
      </c>
      <c r="I14" s="34">
        <v>55.46</v>
      </c>
      <c r="J14" s="35">
        <v>46081</v>
      </c>
      <c r="K14" s="54">
        <v>50</v>
      </c>
      <c r="L14" s="36">
        <f>TAB_APONT[[#This Row],[Tarifa (R$/há)]]*TAB_APONT[[#This Row],[há aplicado]]</f>
        <v>2773</v>
      </c>
      <c r="M14" s="13"/>
      <c r="N14" s="13"/>
      <c r="O14" s="13"/>
      <c r="P14" s="13"/>
    </row>
    <row r="15" spans="2:16" x14ac:dyDescent="0.3">
      <c r="B15" s="48" t="s">
        <v>34</v>
      </c>
      <c r="C15" s="49" t="s">
        <v>35</v>
      </c>
      <c r="D15" s="49"/>
      <c r="E15" s="49"/>
      <c r="F15" s="48"/>
      <c r="G15" s="50"/>
      <c r="H15" s="50"/>
      <c r="I15" s="51">
        <v>100</v>
      </c>
      <c r="J15" s="52" t="s">
        <v>36</v>
      </c>
      <c r="K15" s="55">
        <v>-5.55</v>
      </c>
      <c r="L15" s="47">
        <f>TAB_APONT[[#This Row],[Tarifa (R$/há)]]*TAB_APONT[[#This Row],[há aplicado]]</f>
        <v>-555</v>
      </c>
      <c r="M15" s="37"/>
      <c r="N15" s="13"/>
      <c r="O15" s="13"/>
      <c r="P15" s="13"/>
    </row>
    <row r="16" spans="2:16" x14ac:dyDescent="0.3">
      <c r="B16" s="39"/>
      <c r="C16" s="39"/>
      <c r="D16" s="46"/>
      <c r="E16" s="46"/>
      <c r="F16" s="39"/>
      <c r="G16" s="40"/>
      <c r="H16" s="40">
        <f>SUBTOTAL(109,TAB_APONT[há total])</f>
        <v>434.40999999999997</v>
      </c>
      <c r="I16" s="40"/>
      <c r="J16" s="41"/>
      <c r="K16" s="39"/>
      <c r="L16" s="42">
        <f>SUBTOTAL(109,TAB_APONT[Valor Total])</f>
        <v>25072</v>
      </c>
      <c r="M16" s="37"/>
      <c r="N16" s="13"/>
      <c r="O16" s="13"/>
      <c r="P16" s="13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Drone Fevereiro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Catuliode Oliveira</dc:creator>
  <cp:lastModifiedBy>Eduardo Catuliode Oliveira</cp:lastModifiedBy>
  <dcterms:created xsi:type="dcterms:W3CDTF">2015-06-05T18:17:20Z</dcterms:created>
  <dcterms:modified xsi:type="dcterms:W3CDTF">2026-09-18T14:21:52Z</dcterms:modified>
</cp:coreProperties>
</file>