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F-Orion Drone\"/>
    </mc:Choice>
  </mc:AlternateContent>
  <xr:revisionPtr revIDLastSave="0" documentId="13_ncr:1_{43A2D60F-6BCC-497C-9573-8F96C3A8AC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ç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7" i="1"/>
  <c r="I20" i="1"/>
  <c r="L8" i="1"/>
  <c r="L9" i="1"/>
  <c r="L10" i="1"/>
  <c r="L11" i="1"/>
  <c r="L12" i="1"/>
  <c r="L13" i="1"/>
  <c r="L14" i="1"/>
  <c r="L15" i="1"/>
  <c r="L7" i="1"/>
  <c r="L20" i="1" l="1"/>
</calcChain>
</file>

<file path=xl/sharedStrings.xml><?xml version="1.0" encoding="utf-8"?>
<sst xmlns="http://schemas.openxmlformats.org/spreadsheetml/2006/main" count="82" uniqueCount="54">
  <si>
    <t>F-ORION Tecnologia de Aplicação</t>
  </si>
  <si>
    <t>Prestação de Serviços - Santa Vergínia Agropecuária e Florestal LTDA</t>
  </si>
  <si>
    <t xml:space="preserve">Operação Realizada </t>
  </si>
  <si>
    <t>Produto</t>
  </si>
  <si>
    <t>Recomendação</t>
  </si>
  <si>
    <t>Volume de Calda</t>
  </si>
  <si>
    <t>Horto</t>
  </si>
  <si>
    <t>Talhão</t>
  </si>
  <si>
    <t>há total</t>
  </si>
  <si>
    <t>há aplicado</t>
  </si>
  <si>
    <t>Data Início</t>
  </si>
  <si>
    <t>Tarifa (R$/há)</t>
  </si>
  <si>
    <t>Valor Total</t>
  </si>
  <si>
    <t>Insumos</t>
  </si>
  <si>
    <t xml:space="preserve">Qtde </t>
  </si>
  <si>
    <t>Recomendação2</t>
  </si>
  <si>
    <t>Observação</t>
  </si>
  <si>
    <t>Desseca</t>
  </si>
  <si>
    <t xml:space="preserve">20 l/há </t>
  </si>
  <si>
    <t>Eucalipto</t>
  </si>
  <si>
    <t>20l/há</t>
  </si>
  <si>
    <t>Água Branca</t>
  </si>
  <si>
    <t>Abastecimento</t>
  </si>
  <si>
    <t>Gasolina</t>
  </si>
  <si>
    <t xml:space="preserve">0,18 + 0,05 kg/há </t>
  </si>
  <si>
    <t>Reserva</t>
  </si>
  <si>
    <t>Fordor + Tuit</t>
  </si>
  <si>
    <t>Pré Emergente + formigas</t>
  </si>
  <si>
    <t>Controle de formigas</t>
  </si>
  <si>
    <t>Córrego do Campo</t>
  </si>
  <si>
    <t>15 kg/há</t>
  </si>
  <si>
    <t>Isca Dinagro</t>
  </si>
  <si>
    <t>20 l/há</t>
  </si>
  <si>
    <t>2 4.D</t>
  </si>
  <si>
    <t>Capina química</t>
  </si>
  <si>
    <t>Controle de lagartas</t>
  </si>
  <si>
    <t>TIP (F)</t>
  </si>
  <si>
    <t>216 ao 219</t>
  </si>
  <si>
    <t>Março</t>
  </si>
  <si>
    <t>Diesel</t>
  </si>
  <si>
    <t>Período: Março / 2026</t>
  </si>
  <si>
    <t xml:space="preserve">Zap QI </t>
  </si>
  <si>
    <t>Zap QI + Tuit</t>
  </si>
  <si>
    <t>3,0 + 0,05 / há</t>
  </si>
  <si>
    <t xml:space="preserve">3,0 l / há </t>
  </si>
  <si>
    <t>Crucial + Tuit</t>
  </si>
  <si>
    <t>Crucial  + Tuit</t>
  </si>
  <si>
    <t xml:space="preserve">1,5 l / há </t>
  </si>
  <si>
    <t>341 e 342</t>
  </si>
  <si>
    <t>20 kg/há</t>
  </si>
  <si>
    <t>Fastac Duo</t>
  </si>
  <si>
    <t xml:space="preserve">0,2 l / há </t>
  </si>
  <si>
    <t>10 l/há</t>
  </si>
  <si>
    <t>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</si>
</sst>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2060"/>
      <name val="Calibri"/>
      <family val="2"/>
    </font>
    <font>
      <sz val="11"/>
      <name val="Calibri"/>
      <family val="2"/>
    </font>
    <font>
      <b/>
      <i/>
      <sz val="11"/>
      <color rgb="FFC00000"/>
      <name val="Calibri"/>
      <family val="2"/>
    </font>
    <font>
      <i/>
      <sz val="11"/>
      <color theme="0"/>
      <name val="Calibri"/>
      <family val="2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335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16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2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0" applyFont="1"/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44" fontId="11" fillId="5" borderId="1" xfId="1" applyFont="1" applyFill="1" applyBorder="1" applyAlignment="1">
      <alignment horizont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0" fontId="0" fillId="2" borderId="0" xfId="0" applyFill="1"/>
    <xf numFmtId="0" fontId="14" fillId="2" borderId="5" xfId="0" applyFont="1" applyFill="1" applyBorder="1" applyAlignment="1">
      <alignment horizontal="center" vertical="center"/>
    </xf>
    <xf numFmtId="14" fontId="14" fillId="2" borderId="5" xfId="0" applyNumberFormat="1" applyFont="1" applyFill="1" applyBorder="1" applyAlignment="1">
      <alignment horizontal="center" vertical="center"/>
    </xf>
    <xf numFmtId="44" fontId="14" fillId="2" borderId="5" xfId="0" applyNumberFormat="1" applyFont="1" applyFill="1" applyBorder="1" applyAlignment="1">
      <alignment horizontal="center"/>
    </xf>
    <xf numFmtId="1" fontId="15" fillId="0" borderId="6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16" fontId="0" fillId="0" borderId="0" xfId="0" applyNumberFormat="1"/>
    <xf numFmtId="1" fontId="11" fillId="5" borderId="5" xfId="0" applyNumberFormat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2" fontId="11" fillId="5" borderId="5" xfId="0" applyNumberFormat="1" applyFont="1" applyFill="1" applyBorder="1" applyAlignment="1">
      <alignment horizontal="center" vertical="center"/>
    </xf>
    <xf numFmtId="14" fontId="11" fillId="5" borderId="5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1" fontId="13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2" fontId="13" fillId="5" borderId="5" xfId="0" applyNumberFormat="1" applyFont="1" applyFill="1" applyBorder="1" applyAlignment="1">
      <alignment horizontal="center" vertical="center"/>
    </xf>
    <xf numFmtId="14" fontId="13" fillId="5" borderId="5" xfId="0" applyNumberFormat="1" applyFont="1" applyFill="1" applyBorder="1" applyAlignment="1">
      <alignment horizontal="center" vertical="center"/>
    </xf>
    <xf numFmtId="164" fontId="13" fillId="5" borderId="5" xfId="0" applyNumberFormat="1" applyFont="1" applyFill="1" applyBorder="1" applyAlignment="1">
      <alignment horizontal="center" vertical="center"/>
    </xf>
    <xf numFmtId="1" fontId="13" fillId="6" borderId="5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44" fontId="13" fillId="5" borderId="1" xfId="1" applyFont="1" applyFill="1" applyBorder="1" applyAlignment="1">
      <alignment horizontal="center"/>
    </xf>
    <xf numFmtId="1" fontId="11" fillId="6" borderId="5" xfId="0" applyNumberFormat="1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2" fontId="11" fillId="6" borderId="5" xfId="0" applyNumberFormat="1" applyFont="1" applyFill="1" applyBorder="1" applyAlignment="1">
      <alignment horizontal="center" vertical="center"/>
    </xf>
    <xf numFmtId="14" fontId="11" fillId="6" borderId="5" xfId="0" applyNumberFormat="1" applyFont="1" applyFill="1" applyBorder="1" applyAlignment="1">
      <alignment horizontal="center" vertical="center"/>
    </xf>
    <xf numFmtId="164" fontId="11" fillId="6" borderId="5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2" fontId="13" fillId="6" borderId="5" xfId="0" applyNumberFormat="1" applyFont="1" applyFill="1" applyBorder="1" applyAlignment="1">
      <alignment horizontal="center" vertical="center"/>
    </xf>
    <xf numFmtId="14" fontId="13" fillId="6" borderId="5" xfId="0" applyNumberFormat="1" applyFont="1" applyFill="1" applyBorder="1" applyAlignment="1">
      <alignment horizontal="center" vertical="center"/>
    </xf>
    <xf numFmtId="164" fontId="13" fillId="6" borderId="5" xfId="0" applyNumberFormat="1" applyFont="1" applyFill="1" applyBorder="1" applyAlignment="1">
      <alignment horizontal="center" vertical="center"/>
    </xf>
    <xf numFmtId="44" fontId="13" fillId="6" borderId="1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464819</xdr:colOff>
      <xdr:row>0</xdr:row>
      <xdr:rowOff>30480</xdr:rowOff>
    </xdr:from>
    <xdr:to>
      <xdr:col>1</xdr:col>
      <xdr:colOff>1710048</xdr:colOff>
      <xdr:row>4</xdr:row>
      <xdr:rowOff>167640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E0B614-963E-4363-9450-07A1DE0D9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59" y="30480"/>
          <a:ext cx="1245229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9FB05-78AA-4624-AC7A-F78357408CFA}" name="TAB_APONT" displayName="TAB_APONT" ref="B6:P20" totalsRowCount="1" headerRowDxfId="25" dataDxfId="24" tableBorderDxfId="23">
  <autoFilter ref="B6:P19" xr:uid="{24C9FB05-78AA-4624-AC7A-F78357408CFA}"/>
  <tableColumns count="15">
    <tableColumn id="2" xr3:uid="{A515D3A4-D2D0-4AA5-A903-B8808E65FCC9}" name="Operação Realizada " totalsRowDxfId="22"/>
    <tableColumn id="6" xr3:uid="{CD93C17D-D013-49C2-8716-D706A3FAFE44}" name="Produto" dataDxfId="21" totalsRowDxfId="20"/>
    <tableColumn id="10" xr3:uid="{5C27284D-A75A-482B-83AC-CDCA3F296CCA}" name="Recomendação" dataDxfId="19" totalsRowDxfId="18"/>
    <tableColumn id="11" xr3:uid="{A81511C4-04FF-4724-9B38-E11787DF2D87}" name="Volume de Calda" dataDxfId="17" totalsRowDxfId="16"/>
    <tableColumn id="3" xr3:uid="{DC8BFCF9-A38E-4A9B-974C-B03BE736D46D}" name="Horto" totalsRowDxfId="15"/>
    <tableColumn id="5" xr3:uid="{06BF6715-1156-453B-940A-092B17870770}" name="Talhão" totalsRowDxfId="14"/>
    <tableColumn id="7" xr3:uid="{F4D417D3-818C-4A58-B145-9E18B9AB79F8}" name="há total" totalsRowDxfId="13"/>
    <tableColumn id="4" xr3:uid="{22402CA3-E0A0-4468-8A0C-8CFD21C2E814}" name="há aplicado" totalsRowFunction="sum" totalsRowDxfId="12"/>
    <tableColumn id="9" xr3:uid="{2F4F025F-4507-4117-9FAA-A6CBFAB0994B}" name="Data Início" totalsRowDxfId="11"/>
    <tableColumn id="15" xr3:uid="{893B3AB4-0FAB-43EB-A0EA-80BAE3D19112}" name="Tarifa (R$/há)" totalsRowDxfId="10"/>
    <tableColumn id="8" xr3:uid="{902C318C-8DB1-465E-9AD2-5404ECCADF01}" name="Valor Total" totalsRowFunction="sum" dataDxfId="9" totalsRowDxfId="8">
      <calculatedColumnFormula>TAB_APONT[[#This Row],[Tarifa (R$/há)]]*TAB_APONT[[#This Row],[há aplicado]]</calculatedColumnFormula>
    </tableColumn>
    <tableColumn id="13" xr3:uid="{C5B656B6-4D27-4515-9ED8-3F05C373082F}" name="Insumos" dataDxfId="7" totalsRowDxfId="6"/>
    <tableColumn id="14" xr3:uid="{CCA71A1D-7B85-46C1-9DD5-6272A830D052}" name="Qtde " dataDxfId="5" totalsRowDxfId="4"/>
    <tableColumn id="18" xr3:uid="{2ED94499-4958-4074-8E9D-C051E1C5B80D}" name="Recomendação2" dataDxfId="3" totalsRowDxfId="2"/>
    <tableColumn id="19" xr3:uid="{F7A6056E-A4F5-44F0-8A83-197DCBC2DCE3}" name="Observação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7"/>
  <sheetViews>
    <sheetView showGridLines="0" tabSelected="1" workbookViewId="0">
      <selection activeCell="F23" sqref="F23"/>
    </sheetView>
  </sheetViews>
  <sheetFormatPr defaultColWidth="24.109375" defaultRowHeight="14.4" x14ac:dyDescent="0.3"/>
  <cols>
    <col min="1" max="1" width="5.77734375" customWidth="1"/>
    <col min="2" max="2" width="25.88671875" customWidth="1"/>
    <col min="3" max="3" width="18.6640625" customWidth="1"/>
    <col min="4" max="5" width="18.77734375" customWidth="1"/>
    <col min="6" max="6" width="18.77734375" style="2" customWidth="1"/>
    <col min="7" max="7" width="13.77734375" customWidth="1"/>
    <col min="8" max="9" width="14.77734375" customWidth="1"/>
    <col min="10" max="10" width="14.77734375" style="3" customWidth="1"/>
    <col min="11" max="11" width="16.77734375" style="4" customWidth="1"/>
    <col min="12" max="12" width="16.88671875" style="5" customWidth="1"/>
    <col min="13" max="13" width="60.88671875" hidden="1" customWidth="1"/>
    <col min="14" max="14" width="48.44140625" hidden="1" customWidth="1"/>
    <col min="15" max="16" width="0" hidden="1" customWidth="1"/>
  </cols>
  <sheetData>
    <row r="2" spans="2:16" ht="15.6" x14ac:dyDescent="0.3">
      <c r="C2" s="1" t="s">
        <v>0</v>
      </c>
      <c r="D2" s="1"/>
      <c r="E2" s="1"/>
    </row>
    <row r="3" spans="2:16" ht="22.8" x14ac:dyDescent="0.3">
      <c r="C3" s="1" t="s">
        <v>1</v>
      </c>
      <c r="D3" s="1"/>
      <c r="E3" s="1"/>
      <c r="F3" s="6"/>
      <c r="G3" s="6"/>
      <c r="H3" s="6"/>
      <c r="I3" s="6"/>
      <c r="J3" s="6"/>
      <c r="K3" s="7"/>
      <c r="L3" s="8"/>
    </row>
    <row r="4" spans="2:16" ht="22.8" x14ac:dyDescent="0.3">
      <c r="C4" s="9" t="s">
        <v>40</v>
      </c>
      <c r="D4" s="9"/>
      <c r="E4" s="9"/>
      <c r="F4" s="6"/>
      <c r="G4" s="6"/>
      <c r="H4" s="6"/>
      <c r="I4" s="6"/>
      <c r="J4" s="6"/>
      <c r="K4" s="7"/>
      <c r="L4" s="8"/>
    </row>
    <row r="5" spans="2:16" ht="17.399999999999999" x14ac:dyDescent="0.3">
      <c r="F5" s="10"/>
      <c r="G5" s="11"/>
      <c r="H5" s="12"/>
      <c r="I5" s="12"/>
      <c r="J5" s="13"/>
      <c r="K5" s="14"/>
      <c r="L5" s="15"/>
    </row>
    <row r="6" spans="2:16" s="26" customFormat="1" x14ac:dyDescent="0.3">
      <c r="B6" s="16" t="s">
        <v>2</v>
      </c>
      <c r="C6" s="16" t="s">
        <v>3</v>
      </c>
      <c r="D6" s="16" t="s">
        <v>4</v>
      </c>
      <c r="E6" s="16" t="s">
        <v>5</v>
      </c>
      <c r="F6" s="17" t="s">
        <v>6</v>
      </c>
      <c r="G6" s="17" t="s">
        <v>7</v>
      </c>
      <c r="H6" s="17" t="s">
        <v>8</v>
      </c>
      <c r="I6" s="18" t="s">
        <v>9</v>
      </c>
      <c r="J6" s="19" t="s">
        <v>10</v>
      </c>
      <c r="K6" s="20" t="s">
        <v>11</v>
      </c>
      <c r="L6" s="21" t="s">
        <v>12</v>
      </c>
      <c r="M6" s="22" t="s">
        <v>13</v>
      </c>
      <c r="N6" s="23" t="s">
        <v>14</v>
      </c>
      <c r="O6" s="24" t="s">
        <v>15</v>
      </c>
      <c r="P6" s="25" t="s">
        <v>16</v>
      </c>
    </row>
    <row r="7" spans="2:16" x14ac:dyDescent="0.3">
      <c r="B7" s="27" t="s">
        <v>35</v>
      </c>
      <c r="C7" s="27" t="s">
        <v>50</v>
      </c>
      <c r="D7" s="27" t="s">
        <v>51</v>
      </c>
      <c r="E7" s="27" t="s">
        <v>52</v>
      </c>
      <c r="F7" s="27" t="s">
        <v>21</v>
      </c>
      <c r="G7" s="28">
        <v>237</v>
      </c>
      <c r="H7" s="28">
        <v>62.46</v>
      </c>
      <c r="I7" s="29">
        <v>31.9</v>
      </c>
      <c r="J7" s="30">
        <v>46095</v>
      </c>
      <c r="K7" s="31">
        <v>75</v>
      </c>
      <c r="L7" s="32">
        <f>TAB_APONT[[#This Row],[Tarifa (R$/há)]]*TAB_APONT[[#This Row],[há aplicado]]</f>
        <v>2392.5</v>
      </c>
      <c r="M7" s="33"/>
      <c r="N7" s="34"/>
      <c r="O7" s="35"/>
      <c r="P7" s="35"/>
    </row>
    <row r="8" spans="2:16" x14ac:dyDescent="0.3">
      <c r="B8" s="36" t="s">
        <v>28</v>
      </c>
      <c r="C8" s="36" t="s">
        <v>31</v>
      </c>
      <c r="D8" s="36" t="s">
        <v>49</v>
      </c>
      <c r="E8" s="36" t="s">
        <v>49</v>
      </c>
      <c r="F8" s="36" t="s">
        <v>29</v>
      </c>
      <c r="G8" s="37">
        <v>333</v>
      </c>
      <c r="H8" s="38">
        <v>41.09</v>
      </c>
      <c r="I8" s="39">
        <v>33.799999999999997</v>
      </c>
      <c r="J8" s="40">
        <v>46096</v>
      </c>
      <c r="K8" s="41">
        <v>75</v>
      </c>
      <c r="L8" s="32">
        <f>TAB_APONT[[#This Row],[Tarifa (R$/há)]]*TAB_APONT[[#This Row],[há aplicado]]</f>
        <v>2535</v>
      </c>
      <c r="M8" s="33"/>
      <c r="N8" s="34"/>
      <c r="O8" s="35"/>
      <c r="P8" s="35"/>
    </row>
    <row r="9" spans="2:16" x14ac:dyDescent="0.3">
      <c r="B9" s="27" t="s">
        <v>28</v>
      </c>
      <c r="C9" s="27" t="s">
        <v>31</v>
      </c>
      <c r="D9" s="27" t="s">
        <v>49</v>
      </c>
      <c r="E9" s="27" t="s">
        <v>49</v>
      </c>
      <c r="F9" s="27" t="s">
        <v>29</v>
      </c>
      <c r="G9" s="28">
        <v>552</v>
      </c>
      <c r="H9" s="28">
        <v>55.46</v>
      </c>
      <c r="I9" s="29">
        <v>9.8000000000000007</v>
      </c>
      <c r="J9" s="30">
        <v>46096</v>
      </c>
      <c r="K9" s="31">
        <v>75</v>
      </c>
      <c r="L9" s="32">
        <f>TAB_APONT[[#This Row],[Tarifa (R$/há)]]*TAB_APONT[[#This Row],[há aplicado]]</f>
        <v>735</v>
      </c>
      <c r="M9" s="35"/>
      <c r="N9" s="35"/>
      <c r="O9" s="35"/>
      <c r="P9" s="35"/>
    </row>
    <row r="10" spans="2:16" x14ac:dyDescent="0.3">
      <c r="B10" s="36" t="s">
        <v>28</v>
      </c>
      <c r="C10" s="36" t="s">
        <v>31</v>
      </c>
      <c r="D10" s="36" t="s">
        <v>49</v>
      </c>
      <c r="E10" s="36" t="s">
        <v>49</v>
      </c>
      <c r="F10" s="36" t="s">
        <v>29</v>
      </c>
      <c r="G10" s="37">
        <v>549</v>
      </c>
      <c r="H10" s="38">
        <v>58.34</v>
      </c>
      <c r="I10" s="39">
        <v>12.1</v>
      </c>
      <c r="J10" s="40">
        <v>46096</v>
      </c>
      <c r="K10" s="41">
        <v>75</v>
      </c>
      <c r="L10" s="32">
        <f>TAB_APONT[[#This Row],[Tarifa (R$/há)]]*TAB_APONT[[#This Row],[há aplicado]]</f>
        <v>907.5</v>
      </c>
      <c r="M10" s="35"/>
      <c r="N10" s="35"/>
      <c r="O10" s="35"/>
      <c r="P10" s="35"/>
    </row>
    <row r="11" spans="2:16" x14ac:dyDescent="0.3">
      <c r="B11" s="27" t="s">
        <v>34</v>
      </c>
      <c r="C11" s="27" t="s">
        <v>33</v>
      </c>
      <c r="D11" s="27" t="s">
        <v>47</v>
      </c>
      <c r="E11" s="27" t="s">
        <v>32</v>
      </c>
      <c r="F11" s="27" t="s">
        <v>53</v>
      </c>
      <c r="G11" s="28" t="s">
        <v>36</v>
      </c>
      <c r="H11" s="28">
        <v>198.19</v>
      </c>
      <c r="I11" s="29">
        <v>5.3</v>
      </c>
      <c r="J11" s="30">
        <v>46100</v>
      </c>
      <c r="K11" s="31">
        <v>75</v>
      </c>
      <c r="L11" s="32">
        <f>TAB_APONT[[#This Row],[Tarifa (R$/há)]]*TAB_APONT[[#This Row],[há aplicado]]</f>
        <v>397.5</v>
      </c>
      <c r="M11" s="35"/>
      <c r="N11" s="35"/>
      <c r="O11" s="35"/>
      <c r="P11" s="35"/>
    </row>
    <row r="12" spans="2:16" x14ac:dyDescent="0.3">
      <c r="B12" s="36" t="s">
        <v>17</v>
      </c>
      <c r="C12" s="36" t="s">
        <v>45</v>
      </c>
      <c r="D12" s="27" t="s">
        <v>43</v>
      </c>
      <c r="E12" s="36" t="s">
        <v>18</v>
      </c>
      <c r="F12" s="36" t="s">
        <v>19</v>
      </c>
      <c r="G12" s="37">
        <v>344</v>
      </c>
      <c r="H12" s="37">
        <v>51.87</v>
      </c>
      <c r="I12" s="39">
        <v>43.8</v>
      </c>
      <c r="J12" s="40">
        <v>46100</v>
      </c>
      <c r="K12" s="41">
        <v>75</v>
      </c>
      <c r="L12" s="32">
        <f>TAB_APONT[[#This Row],[Tarifa (R$/há)]]*TAB_APONT[[#This Row],[há aplicado]]</f>
        <v>3285</v>
      </c>
      <c r="M12" s="35"/>
      <c r="N12" s="35"/>
      <c r="O12" s="35"/>
      <c r="P12" s="35"/>
    </row>
    <row r="13" spans="2:16" x14ac:dyDescent="0.3">
      <c r="B13" s="27" t="s">
        <v>17</v>
      </c>
      <c r="C13" s="27" t="s">
        <v>46</v>
      </c>
      <c r="D13" s="27" t="s">
        <v>43</v>
      </c>
      <c r="E13" s="27" t="s">
        <v>18</v>
      </c>
      <c r="F13" s="27" t="s">
        <v>19</v>
      </c>
      <c r="G13" s="28">
        <v>345</v>
      </c>
      <c r="H13" s="28">
        <v>43.56</v>
      </c>
      <c r="I13" s="29">
        <v>40.4</v>
      </c>
      <c r="J13" s="30">
        <v>20.03</v>
      </c>
      <c r="K13" s="31">
        <v>75</v>
      </c>
      <c r="L13" s="32">
        <f>TAB_APONT[[#This Row],[Tarifa (R$/há)]]*TAB_APONT[[#This Row],[há aplicado]]</f>
        <v>3030</v>
      </c>
      <c r="M13" s="35"/>
      <c r="N13" s="35"/>
      <c r="O13" s="35"/>
      <c r="P13" s="35"/>
    </row>
    <row r="14" spans="2:16" x14ac:dyDescent="0.3">
      <c r="B14" s="36" t="s">
        <v>28</v>
      </c>
      <c r="C14" s="36" t="s">
        <v>31</v>
      </c>
      <c r="D14" s="36" t="s">
        <v>30</v>
      </c>
      <c r="E14" s="36" t="s">
        <v>30</v>
      </c>
      <c r="F14" s="36" t="s">
        <v>29</v>
      </c>
      <c r="G14" s="37">
        <v>338</v>
      </c>
      <c r="H14" s="37">
        <v>37.97</v>
      </c>
      <c r="I14" s="39">
        <v>37.6</v>
      </c>
      <c r="J14" s="40">
        <v>46101</v>
      </c>
      <c r="K14" s="41">
        <v>75</v>
      </c>
      <c r="L14" s="32">
        <f>TAB_APONT[[#This Row],[Tarifa (R$/há)]]*TAB_APONT[[#This Row],[há aplicado]]</f>
        <v>2820</v>
      </c>
      <c r="M14" s="48"/>
      <c r="N14" s="49"/>
      <c r="O14" s="49"/>
      <c r="P14" s="49"/>
    </row>
    <row r="15" spans="2:16" x14ac:dyDescent="0.3">
      <c r="B15" s="27" t="s">
        <v>27</v>
      </c>
      <c r="C15" s="27" t="s">
        <v>26</v>
      </c>
      <c r="D15" s="27" t="s">
        <v>24</v>
      </c>
      <c r="E15" s="27" t="s">
        <v>20</v>
      </c>
      <c r="F15" s="27" t="s">
        <v>25</v>
      </c>
      <c r="G15" s="28" t="s">
        <v>37</v>
      </c>
      <c r="H15" s="28">
        <v>151.1</v>
      </c>
      <c r="I15" s="29">
        <v>126.5</v>
      </c>
      <c r="J15" s="30">
        <v>46102</v>
      </c>
      <c r="K15" s="31">
        <v>75</v>
      </c>
      <c r="L15" s="32">
        <f>TAB_APONT[[#This Row],[Tarifa (R$/há)]]*TAB_APONT[[#This Row],[há aplicado]]</f>
        <v>9487.5</v>
      </c>
      <c r="M15" s="48"/>
      <c r="N15" s="49"/>
      <c r="O15" s="49"/>
      <c r="P15" s="49"/>
    </row>
    <row r="16" spans="2:16" x14ac:dyDescent="0.3">
      <c r="B16" s="36" t="s">
        <v>17</v>
      </c>
      <c r="C16" s="65" t="s">
        <v>41</v>
      </c>
      <c r="D16" s="65" t="s">
        <v>44</v>
      </c>
      <c r="E16" s="36" t="s">
        <v>18</v>
      </c>
      <c r="F16" s="64" t="s">
        <v>19</v>
      </c>
      <c r="G16" s="66">
        <v>343</v>
      </c>
      <c r="H16" s="66">
        <v>52.94</v>
      </c>
      <c r="I16" s="67">
        <v>50.8</v>
      </c>
      <c r="J16" s="68">
        <v>46113</v>
      </c>
      <c r="K16" s="69">
        <v>75</v>
      </c>
      <c r="L16" s="32">
        <f>TAB_APONT[[#This Row],[Tarifa (R$/há)]]*TAB_APONT[[#This Row],[há aplicado]]</f>
        <v>3810</v>
      </c>
      <c r="M16" s="48"/>
      <c r="N16" s="49"/>
      <c r="O16" s="49"/>
      <c r="P16" s="49"/>
    </row>
    <row r="17" spans="2:16" x14ac:dyDescent="0.3">
      <c r="B17" s="27" t="s">
        <v>17</v>
      </c>
      <c r="C17" s="27" t="s">
        <v>42</v>
      </c>
      <c r="D17" s="27" t="s">
        <v>43</v>
      </c>
      <c r="E17" s="27" t="s">
        <v>20</v>
      </c>
      <c r="F17" s="51" t="s">
        <v>19</v>
      </c>
      <c r="G17" s="52" t="s">
        <v>48</v>
      </c>
      <c r="H17" s="52">
        <v>105.63</v>
      </c>
      <c r="I17" s="53">
        <v>105.63</v>
      </c>
      <c r="J17" s="54">
        <v>46116</v>
      </c>
      <c r="K17" s="55">
        <v>75</v>
      </c>
      <c r="L17" s="32">
        <f>TAB_APONT[[#This Row],[Tarifa (R$/há)]]*TAB_APONT[[#This Row],[há aplicado]]</f>
        <v>7922.25</v>
      </c>
      <c r="M17" s="48"/>
      <c r="N17" s="49"/>
      <c r="O17" s="49"/>
      <c r="P17" s="49"/>
    </row>
    <row r="18" spans="2:16" x14ac:dyDescent="0.3">
      <c r="B18" s="61" t="s">
        <v>22</v>
      </c>
      <c r="C18" s="70" t="s">
        <v>23</v>
      </c>
      <c r="D18" s="70"/>
      <c r="E18" s="70"/>
      <c r="F18" s="61"/>
      <c r="G18" s="71"/>
      <c r="H18" s="71">
        <v>208</v>
      </c>
      <c r="I18" s="72"/>
      <c r="J18" s="73" t="s">
        <v>38</v>
      </c>
      <c r="K18" s="74">
        <v>-5.55</v>
      </c>
      <c r="L18" s="75">
        <v>-1154.4000000000001</v>
      </c>
      <c r="M18" s="42"/>
      <c r="N18" s="35"/>
      <c r="O18" s="35"/>
      <c r="P18" s="35"/>
    </row>
    <row r="19" spans="2:16" x14ac:dyDescent="0.3">
      <c r="B19" s="56" t="s">
        <v>22</v>
      </c>
      <c r="C19" s="62" t="s">
        <v>39</v>
      </c>
      <c r="D19" s="27"/>
      <c r="E19" s="27"/>
      <c r="F19" s="56"/>
      <c r="G19" s="57"/>
      <c r="H19" s="57">
        <v>47</v>
      </c>
      <c r="I19" s="58"/>
      <c r="J19" s="59" t="s">
        <v>38</v>
      </c>
      <c r="K19" s="60">
        <v>-5.48</v>
      </c>
      <c r="L19" s="63">
        <v>-257.56</v>
      </c>
      <c r="M19" s="48"/>
      <c r="N19" s="49"/>
      <c r="O19" s="49"/>
      <c r="P19" s="49"/>
    </row>
    <row r="20" spans="2:16" x14ac:dyDescent="0.3">
      <c r="B20" s="43"/>
      <c r="C20" s="43"/>
      <c r="D20" s="44"/>
      <c r="E20" s="44"/>
      <c r="F20" s="43"/>
      <c r="G20" s="45"/>
      <c r="H20" s="45"/>
      <c r="I20" s="45">
        <f>SUBTOTAL(109,TAB_APONT[há aplicado])</f>
        <v>497.63</v>
      </c>
      <c r="J20" s="46"/>
      <c r="K20" s="43"/>
      <c r="L20" s="47">
        <f>SUBTOTAL(109,TAB_APONT[Valor Total])</f>
        <v>35910.29</v>
      </c>
      <c r="M20" s="42"/>
      <c r="N20" s="35"/>
      <c r="O20" s="35"/>
      <c r="P20" s="35"/>
    </row>
    <row r="25" spans="2:16" x14ac:dyDescent="0.3">
      <c r="I25" s="50"/>
    </row>
    <row r="26" spans="2:16" x14ac:dyDescent="0.3">
      <c r="I26" s="50"/>
    </row>
    <row r="27" spans="2:16" x14ac:dyDescent="0.3">
      <c r="I27" s="50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2026-04-06T14:35:06Z</dcterms:modified>
</cp:coreProperties>
</file>