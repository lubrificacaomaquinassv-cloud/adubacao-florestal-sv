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F-Orion Drone\"/>
    </mc:Choice>
  </mc:AlternateContent>
  <xr:revisionPtr revIDLastSave="0" documentId="13_ncr:1_{E79281B7-1738-4553-BE80-E363D74D9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L46" i="1"/>
  <c r="L47" i="1"/>
  <c r="L44" i="1"/>
  <c r="L48" i="1"/>
  <c r="L36" i="1"/>
  <c r="L37" i="1"/>
  <c r="L38" i="1"/>
  <c r="L39" i="1"/>
  <c r="L40" i="1"/>
  <c r="L32" i="1"/>
  <c r="L33" i="1"/>
  <c r="L34" i="1"/>
  <c r="L35" i="1"/>
  <c r="L25" i="1"/>
  <c r="L26" i="1"/>
  <c r="L27" i="1"/>
  <c r="L28" i="1"/>
  <c r="L29" i="1"/>
  <c r="L22" i="1"/>
  <c r="L23" i="1"/>
  <c r="L24" i="1"/>
  <c r="L30" i="1"/>
  <c r="L31" i="1"/>
  <c r="I54" i="1"/>
  <c r="L53" i="1"/>
  <c r="L52" i="1"/>
  <c r="M52" i="1" s="1"/>
  <c r="N52" i="1" s="1"/>
  <c r="O52" i="1" s="1"/>
  <c r="P52" i="1" s="1"/>
  <c r="L50" i="1"/>
  <c r="L49" i="1"/>
  <c r="L43" i="1"/>
  <c r="L42" i="1"/>
  <c r="L41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54" i="1" l="1"/>
</calcChain>
</file>

<file path=xl/sharedStrings.xml><?xml version="1.0" encoding="utf-8"?>
<sst xmlns="http://schemas.openxmlformats.org/spreadsheetml/2006/main" count="185" uniqueCount="54">
  <si>
    <t>F-ORION Tecnologia de Aplicação</t>
  </si>
  <si>
    <t>Prestação de Serviços - Santa Vergínia Agropecuária e Florestal LTDA</t>
  </si>
  <si>
    <t xml:space="preserve">Operação Realizada </t>
  </si>
  <si>
    <t>Produto</t>
  </si>
  <si>
    <t>Recomendação</t>
  </si>
  <si>
    <t>Volume de Calda</t>
  </si>
  <si>
    <t>Horto</t>
  </si>
  <si>
    <t>Talhão</t>
  </si>
  <si>
    <t>há total</t>
  </si>
  <si>
    <t>há aplicado</t>
  </si>
  <si>
    <t>Data Início</t>
  </si>
  <si>
    <t>Tarifa (R$/há)</t>
  </si>
  <si>
    <t>Valor Total</t>
  </si>
  <si>
    <t>Insumos</t>
  </si>
  <si>
    <t xml:space="preserve">Qtde </t>
  </si>
  <si>
    <t>Recomendação2</t>
  </si>
  <si>
    <t>Observação</t>
  </si>
  <si>
    <t>Deslocamento</t>
  </si>
  <si>
    <t>Abastecimento</t>
  </si>
  <si>
    <t>Gasolina</t>
  </si>
  <si>
    <t>Diesel</t>
  </si>
  <si>
    <t>393B</t>
  </si>
  <si>
    <t>392B</t>
  </si>
  <si>
    <t>389A</t>
  </si>
  <si>
    <t>389B</t>
  </si>
  <si>
    <t>Controle de formigas</t>
  </si>
  <si>
    <t>Eucalipto</t>
  </si>
  <si>
    <t>Água Branca</t>
  </si>
  <si>
    <t>Poço Azul</t>
  </si>
  <si>
    <t>Taquarussu</t>
  </si>
  <si>
    <t>Córrego do Campo</t>
  </si>
  <si>
    <t>Barra do Cervo 1</t>
  </si>
  <si>
    <t>Capina Química</t>
  </si>
  <si>
    <t>Fordor + Verdict</t>
  </si>
  <si>
    <t>Reserva</t>
  </si>
  <si>
    <t>Fipronil</t>
  </si>
  <si>
    <t xml:space="preserve">Fordor  </t>
  </si>
  <si>
    <t>Adubação Foliar/C. Lagarta</t>
  </si>
  <si>
    <t>ICL + Dipel</t>
  </si>
  <si>
    <t>Capina Química/C. formigas</t>
  </si>
  <si>
    <t>Fordor + Fipronil</t>
  </si>
  <si>
    <t>Isca Landrim</t>
  </si>
  <si>
    <t>Isca Atexo</t>
  </si>
  <si>
    <t>Fordor + Verdict + Fipronil</t>
  </si>
  <si>
    <t>Frange</t>
  </si>
  <si>
    <t>xxx</t>
  </si>
  <si>
    <t>Fordor</t>
  </si>
  <si>
    <t>Período: Julho / 2026</t>
  </si>
  <si>
    <t>15 litros/há</t>
  </si>
  <si>
    <t>10 litros/há</t>
  </si>
  <si>
    <t>20 litros/há</t>
  </si>
  <si>
    <t>130 ml/há</t>
  </si>
  <si>
    <t>Barra do Cervo 3</t>
  </si>
  <si>
    <t>Isca Blitz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</si>
</sst>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206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i/>
      <sz val="11"/>
      <color rgb="FFC00000"/>
      <name val="Calibri"/>
      <family val="2"/>
    </font>
    <font>
      <i/>
      <sz val="11"/>
      <color theme="0"/>
      <name val="Calibri"/>
      <family val="2"/>
    </font>
    <font>
      <i/>
      <sz val="9"/>
      <color rgb="FF00206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335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16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2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0" applyFont="1"/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44" fontId="11" fillId="5" borderId="1" xfId="1" applyFont="1" applyFill="1" applyBorder="1" applyAlignment="1">
      <alignment horizont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44" fontId="11" fillId="6" borderId="1" xfId="1" applyFont="1" applyFill="1" applyBorder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2" fontId="13" fillId="6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" fontId="11" fillId="5" borderId="6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 vertical="center"/>
    </xf>
    <xf numFmtId="14" fontId="11" fillId="5" borderId="6" xfId="0" applyNumberFormat="1" applyFont="1" applyFill="1" applyBorder="1" applyAlignment="1">
      <alignment horizontal="center" vertical="center"/>
    </xf>
    <xf numFmtId="1" fontId="11" fillId="6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vertical="center"/>
    </xf>
    <xf numFmtId="14" fontId="11" fillId="6" borderId="6" xfId="0" applyNumberFormat="1" applyFont="1" applyFill="1" applyBorder="1" applyAlignment="1">
      <alignment horizontal="center" vertical="center"/>
    </xf>
    <xf numFmtId="1" fontId="14" fillId="5" borderId="6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2" fontId="14" fillId="5" borderId="6" xfId="0" applyNumberFormat="1" applyFont="1" applyFill="1" applyBorder="1" applyAlignment="1">
      <alignment horizontal="center" vertical="center"/>
    </xf>
    <xf numFmtId="14" fontId="14" fillId="5" borderId="6" xfId="0" applyNumberFormat="1" applyFont="1" applyFill="1" applyBorder="1" applyAlignment="1">
      <alignment horizontal="center" vertical="center"/>
    </xf>
    <xf numFmtId="164" fontId="14" fillId="5" borderId="6" xfId="0" applyNumberFormat="1" applyFont="1" applyFill="1" applyBorder="1" applyAlignment="1">
      <alignment horizontal="center" vertical="center"/>
    </xf>
    <xf numFmtId="164" fontId="14" fillId="5" borderId="1" xfId="1" applyNumberFormat="1" applyFont="1" applyFill="1" applyBorder="1" applyAlignment="1">
      <alignment horizontal="center"/>
    </xf>
    <xf numFmtId="1" fontId="14" fillId="6" borderId="6" xfId="0" applyNumberFormat="1" applyFont="1" applyFill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2" fontId="14" fillId="6" borderId="6" xfId="0" applyNumberFormat="1" applyFont="1" applyFill="1" applyBorder="1" applyAlignment="1">
      <alignment horizontal="center" vertical="center"/>
    </xf>
    <xf numFmtId="14" fontId="14" fillId="6" borderId="6" xfId="0" applyNumberFormat="1" applyFont="1" applyFill="1" applyBorder="1" applyAlignment="1">
      <alignment horizontal="center" vertical="center"/>
    </xf>
    <xf numFmtId="164" fontId="14" fillId="6" borderId="6" xfId="0" applyNumberFormat="1" applyFont="1" applyFill="1" applyBorder="1" applyAlignment="1">
      <alignment horizontal="center" vertical="center"/>
    </xf>
    <xf numFmtId="164" fontId="14" fillId="6" borderId="1" xfId="1" applyNumberFormat="1" applyFont="1" applyFill="1" applyBorder="1" applyAlignment="1">
      <alignment horizontal="center"/>
    </xf>
    <xf numFmtId="1" fontId="15" fillId="2" borderId="6" xfId="0" applyNumberFormat="1" applyFont="1" applyFill="1" applyBorder="1" applyAlignment="1">
      <alignment horizontal="center" vertical="center"/>
    </xf>
    <xf numFmtId="0" fontId="0" fillId="2" borderId="0" xfId="0" applyFill="1"/>
    <xf numFmtId="0" fontId="15" fillId="2" borderId="6" xfId="0" applyFont="1" applyFill="1" applyBorder="1" applyAlignment="1">
      <alignment horizontal="center" vertical="center"/>
    </xf>
    <xf numFmtId="14" fontId="15" fillId="2" borderId="6" xfId="0" applyNumberFormat="1" applyFont="1" applyFill="1" applyBorder="1" applyAlignment="1">
      <alignment horizontal="center" vertical="center"/>
    </xf>
    <xf numFmtId="44" fontId="15" fillId="2" borderId="6" xfId="0" applyNumberFormat="1" applyFont="1" applyFill="1" applyBorder="1" applyAlignment="1">
      <alignment horizontal="center"/>
    </xf>
    <xf numFmtId="16" fontId="0" fillId="0" borderId="0" xfId="0" applyNumberFormat="1"/>
    <xf numFmtId="164" fontId="11" fillId="5" borderId="6" xfId="0" applyNumberFormat="1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" vertical="center"/>
    </xf>
    <xf numFmtId="4" fontId="15" fillId="2" borderId="6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4" formatCode="#,##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60960</xdr:rowOff>
    </xdr:from>
    <xdr:to>
      <xdr:col>1</xdr:col>
      <xdr:colOff>1677143</xdr:colOff>
      <xdr:row>4</xdr:row>
      <xdr:rowOff>137160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E38910-7126-48F3-833F-801FE3EB7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0960"/>
          <a:ext cx="1768583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F2D1E-B99E-4153-A56D-F7DBE9D476F4}" name="TAB_APONT" displayName="TAB_APONT" ref="B6:P54" totalsRowCount="1" headerRowDxfId="25" dataDxfId="24" tableBorderDxfId="23">
  <autoFilter ref="B6:P53" xr:uid="{7D2F2D1E-B99E-4153-A56D-F7DBE9D476F4}"/>
  <tableColumns count="15">
    <tableColumn id="2" xr3:uid="{3DAE8306-F685-46E7-B736-D16BF9CC2FC2}" name="Operação Realizada " totalsRowDxfId="12"/>
    <tableColumn id="6" xr3:uid="{38C6D512-1A67-4C61-81B5-61B4FA821C8A}" name="Produto" dataDxfId="22" totalsRowDxfId="11"/>
    <tableColumn id="10" xr3:uid="{07A61EF0-3454-4D63-8393-5901C26B4309}" name="Recomendação" dataDxfId="21" totalsRowDxfId="20"/>
    <tableColumn id="11" xr3:uid="{B3ADE7CF-F842-407F-AD87-CA9CF23524AF}" name="Volume de Calda" dataDxfId="19" totalsRowDxfId="18"/>
    <tableColumn id="3" xr3:uid="{02E9B5C5-19A4-4445-83D5-97B056D2FC8C}" name="Horto" totalsRowDxfId="10"/>
    <tableColumn id="5" xr3:uid="{B2A7457A-6E65-42B0-9F97-147FE07E3EDB}" name="Talhão" totalsRowDxfId="9"/>
    <tableColumn id="7" xr3:uid="{FFA49BF7-3047-4CFB-B97A-042929CCE4A0}" name="há total" totalsRowDxfId="8"/>
    <tableColumn id="4" xr3:uid="{A40E7143-CEA2-4758-97AF-D75B5B24D35C}" name="há aplicado" totalsRowFunction="sum" totalsRowDxfId="7"/>
    <tableColumn id="9" xr3:uid="{311CF6D7-D550-4698-9E6B-220EA358D6FB}" name="Data Início" totalsRowDxfId="6"/>
    <tableColumn id="15" xr3:uid="{8DF7B635-F44D-4E67-90EF-52C039168F31}" name="Tarifa (R$/há)" totalsRowDxfId="5"/>
    <tableColumn id="8" xr3:uid="{0489A27F-2835-4DD8-BCA2-5A14DD36A2BB}" name="Valor Total" totalsRowFunction="sum" dataDxfId="17" totalsRowDxfId="4">
      <calculatedColumnFormula>TAB_APONT[[#This Row],[Tarifa (R$/há)]]*TAB_APONT[[#This Row],[há aplicado]]</calculatedColumnFormula>
    </tableColumn>
    <tableColumn id="13" xr3:uid="{D7A3F54A-1516-46B5-9BB2-9D6ADC5E7F5A}" name="Insumos" dataDxfId="16" totalsRowDxfId="3"/>
    <tableColumn id="14" xr3:uid="{BBB97AA3-EEC7-4D46-9AE3-01DA5654DF0B}" name="Qtde " dataDxfId="15" totalsRowDxfId="2"/>
    <tableColumn id="18" xr3:uid="{A42AE4B4-4F7F-4E53-9FC3-A7FF8EA53A7D}" name="Recomendação2" dataDxfId="14" totalsRowDxfId="1"/>
    <tableColumn id="19" xr3:uid="{A10F6366-1D46-4514-A1C6-07A7913D7E8E}" name="Observação" dataDxfId="1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1"/>
  <sheetViews>
    <sheetView showGridLines="0" tabSelected="1" workbookViewId="0">
      <selection activeCell="Q3" sqref="Q3"/>
    </sheetView>
  </sheetViews>
  <sheetFormatPr defaultColWidth="24.109375" defaultRowHeight="14.4" x14ac:dyDescent="0.3"/>
  <cols>
    <col min="1" max="1" width="5.77734375" customWidth="1"/>
    <col min="2" max="2" width="25.88671875" customWidth="1"/>
    <col min="3" max="3" width="18.6640625" customWidth="1"/>
    <col min="4" max="5" width="18.77734375" customWidth="1"/>
    <col min="6" max="6" width="18.77734375" style="2" customWidth="1"/>
    <col min="7" max="7" width="13.77734375" customWidth="1"/>
    <col min="8" max="9" width="14.77734375" customWidth="1"/>
    <col min="10" max="10" width="14.77734375" style="3" customWidth="1"/>
    <col min="11" max="11" width="16.77734375" style="4" customWidth="1"/>
    <col min="12" max="12" width="16.88671875" style="5" customWidth="1"/>
    <col min="13" max="13" width="60.88671875" hidden="1" customWidth="1"/>
    <col min="14" max="14" width="48.44140625" hidden="1" customWidth="1"/>
    <col min="15" max="16" width="0" hidden="1" customWidth="1"/>
  </cols>
  <sheetData>
    <row r="2" spans="2:16" ht="15.6" x14ac:dyDescent="0.3">
      <c r="C2" s="1" t="s">
        <v>0</v>
      </c>
      <c r="D2" s="1"/>
      <c r="E2" s="1"/>
    </row>
    <row r="3" spans="2:16" ht="22.8" x14ac:dyDescent="0.3">
      <c r="C3" s="1" t="s">
        <v>1</v>
      </c>
      <c r="D3" s="1"/>
      <c r="E3" s="1"/>
      <c r="F3" s="6"/>
      <c r="G3" s="6"/>
      <c r="H3" s="6"/>
      <c r="I3" s="6"/>
      <c r="J3" s="6"/>
      <c r="K3" s="7"/>
      <c r="L3" s="8"/>
    </row>
    <row r="4" spans="2:16" ht="22.8" x14ac:dyDescent="0.3">
      <c r="C4" s="9" t="s">
        <v>47</v>
      </c>
      <c r="D4" s="9"/>
      <c r="E4" s="9"/>
      <c r="F4" s="6"/>
      <c r="G4" s="6"/>
      <c r="H4" s="6"/>
      <c r="I4" s="6"/>
      <c r="J4" s="6"/>
      <c r="K4" s="7"/>
      <c r="L4" s="8"/>
    </row>
    <row r="5" spans="2:16" ht="17.399999999999999" x14ac:dyDescent="0.3">
      <c r="F5" s="10"/>
      <c r="G5" s="11"/>
      <c r="H5" s="12"/>
      <c r="I5" s="12"/>
      <c r="J5" s="13"/>
      <c r="K5" s="14"/>
      <c r="L5" s="15"/>
    </row>
    <row r="6" spans="2:16" s="26" customFormat="1" x14ac:dyDescent="0.3">
      <c r="B6" s="16" t="s">
        <v>2</v>
      </c>
      <c r="C6" s="16" t="s">
        <v>3</v>
      </c>
      <c r="D6" s="16" t="s">
        <v>4</v>
      </c>
      <c r="E6" s="16" t="s">
        <v>5</v>
      </c>
      <c r="F6" s="17" t="s">
        <v>6</v>
      </c>
      <c r="G6" s="17" t="s">
        <v>7</v>
      </c>
      <c r="H6" s="17" t="s">
        <v>8</v>
      </c>
      <c r="I6" s="18" t="s">
        <v>9</v>
      </c>
      <c r="J6" s="19" t="s">
        <v>10</v>
      </c>
      <c r="K6" s="20" t="s">
        <v>11</v>
      </c>
      <c r="L6" s="21" t="s">
        <v>12</v>
      </c>
      <c r="M6" s="22" t="s">
        <v>13</v>
      </c>
      <c r="N6" s="23" t="s">
        <v>14</v>
      </c>
      <c r="O6" s="24" t="s">
        <v>15</v>
      </c>
      <c r="P6" s="25" t="s">
        <v>16</v>
      </c>
    </row>
    <row r="7" spans="2:16" x14ac:dyDescent="0.3">
      <c r="B7" s="27" t="s">
        <v>32</v>
      </c>
      <c r="C7" s="27" t="s">
        <v>40</v>
      </c>
      <c r="D7" s="27"/>
      <c r="E7" s="27" t="s">
        <v>48</v>
      </c>
      <c r="F7" s="27" t="s">
        <v>26</v>
      </c>
      <c r="G7" s="28">
        <v>341</v>
      </c>
      <c r="H7" s="28">
        <v>54.71</v>
      </c>
      <c r="I7" s="29">
        <v>55.3</v>
      </c>
      <c r="J7" s="30">
        <v>46213</v>
      </c>
      <c r="K7" s="31"/>
      <c r="L7" s="32">
        <f>TAB_APONT[[#This Row],[Tarifa (R$/há)]]*TAB_APONT[[#This Row],[há aplicado]]</f>
        <v>0</v>
      </c>
      <c r="M7" s="33"/>
      <c r="N7" s="34"/>
      <c r="O7" s="35"/>
      <c r="P7" s="35"/>
    </row>
    <row r="8" spans="2:16" x14ac:dyDescent="0.3">
      <c r="B8" s="36" t="s">
        <v>32</v>
      </c>
      <c r="C8" s="36" t="s">
        <v>40</v>
      </c>
      <c r="D8" s="36"/>
      <c r="E8" s="36" t="s">
        <v>48</v>
      </c>
      <c r="F8" s="36" t="s">
        <v>26</v>
      </c>
      <c r="G8" s="37">
        <v>342</v>
      </c>
      <c r="H8" s="37">
        <v>50.92</v>
      </c>
      <c r="I8" s="38">
        <v>51.5</v>
      </c>
      <c r="J8" s="39">
        <v>46214</v>
      </c>
      <c r="K8" s="40"/>
      <c r="L8" s="41">
        <f>TAB_APONT[[#This Row],[Tarifa (R$/há)]]*TAB_APONT[[#This Row],[há aplicado]]</f>
        <v>0</v>
      </c>
      <c r="M8" s="42"/>
      <c r="N8" s="35"/>
      <c r="O8" s="35"/>
      <c r="P8" s="35"/>
    </row>
    <row r="9" spans="2:16" x14ac:dyDescent="0.3">
      <c r="B9" s="46" t="s">
        <v>39</v>
      </c>
      <c r="C9" s="75" t="s">
        <v>43</v>
      </c>
      <c r="D9" s="27"/>
      <c r="E9" s="27" t="s">
        <v>49</v>
      </c>
      <c r="F9" s="27" t="s">
        <v>26</v>
      </c>
      <c r="G9" s="28">
        <v>343</v>
      </c>
      <c r="H9" s="28">
        <v>52.94</v>
      </c>
      <c r="I9" s="29">
        <v>52.7</v>
      </c>
      <c r="J9" s="30">
        <v>46215</v>
      </c>
      <c r="K9" s="31"/>
      <c r="L9" s="32">
        <f>TAB_APONT[[#This Row],[Tarifa (R$/há)]]*TAB_APONT[[#This Row],[há aplicado]]</f>
        <v>0</v>
      </c>
      <c r="M9" s="33"/>
      <c r="N9" s="34"/>
      <c r="O9" s="35"/>
      <c r="P9" s="35"/>
    </row>
    <row r="10" spans="2:16" x14ac:dyDescent="0.3">
      <c r="B10" s="50" t="s">
        <v>39</v>
      </c>
      <c r="C10" s="76" t="s">
        <v>43</v>
      </c>
      <c r="D10" s="36"/>
      <c r="E10" s="36" t="s">
        <v>48</v>
      </c>
      <c r="F10" s="36" t="s">
        <v>26</v>
      </c>
      <c r="G10" s="37">
        <v>345</v>
      </c>
      <c r="H10" s="37">
        <v>43.56</v>
      </c>
      <c r="I10" s="43">
        <v>40.1</v>
      </c>
      <c r="J10" s="39">
        <v>46215</v>
      </c>
      <c r="K10" s="40"/>
      <c r="L10" s="41">
        <f>TAB_APONT[[#This Row],[Tarifa (R$/há)]]*TAB_APONT[[#This Row],[há aplicado]]</f>
        <v>0</v>
      </c>
      <c r="M10" s="35"/>
      <c r="N10" s="35"/>
      <c r="O10" s="35"/>
      <c r="P10" s="35"/>
    </row>
    <row r="11" spans="2:16" x14ac:dyDescent="0.3">
      <c r="B11" s="27" t="s">
        <v>25</v>
      </c>
      <c r="C11" s="27" t="s">
        <v>41</v>
      </c>
      <c r="D11" s="27"/>
      <c r="E11" s="27"/>
      <c r="F11" s="27" t="s">
        <v>30</v>
      </c>
      <c r="G11" s="28" t="s">
        <v>34</v>
      </c>
      <c r="H11" s="28" t="s">
        <v>45</v>
      </c>
      <c r="I11" s="44">
        <v>15.8</v>
      </c>
      <c r="J11" s="30">
        <v>46216</v>
      </c>
      <c r="K11" s="31"/>
      <c r="L11" s="32">
        <f>TAB_APONT[[#This Row],[Tarifa (R$/há)]]*TAB_APONT[[#This Row],[há aplicado]]</f>
        <v>0</v>
      </c>
      <c r="M11" s="35"/>
      <c r="N11" s="35"/>
      <c r="O11" s="35"/>
      <c r="P11" s="35"/>
    </row>
    <row r="12" spans="2:16" x14ac:dyDescent="0.3">
      <c r="B12" s="36" t="s">
        <v>25</v>
      </c>
      <c r="C12" s="36" t="s">
        <v>41</v>
      </c>
      <c r="D12" s="36"/>
      <c r="E12" s="36"/>
      <c r="F12" s="36" t="s">
        <v>26</v>
      </c>
      <c r="G12" s="37" t="s">
        <v>34</v>
      </c>
      <c r="H12" s="37" t="s">
        <v>45</v>
      </c>
      <c r="I12" s="43">
        <v>23.9</v>
      </c>
      <c r="J12" s="39">
        <v>46216</v>
      </c>
      <c r="K12" s="40"/>
      <c r="L12" s="41">
        <f>TAB_APONT[[#This Row],[Tarifa (R$/há)]]*TAB_APONT[[#This Row],[há aplicado]]</f>
        <v>0</v>
      </c>
      <c r="M12" s="35"/>
      <c r="N12" s="35"/>
      <c r="O12" s="35"/>
      <c r="P12" s="35"/>
    </row>
    <row r="13" spans="2:16" x14ac:dyDescent="0.3">
      <c r="B13" s="27" t="s">
        <v>25</v>
      </c>
      <c r="C13" s="27" t="s">
        <v>41</v>
      </c>
      <c r="D13" s="27"/>
      <c r="E13" s="27"/>
      <c r="F13" s="27" t="s">
        <v>27</v>
      </c>
      <c r="G13" s="28">
        <v>215</v>
      </c>
      <c r="H13" s="28">
        <v>34.950000000000003</v>
      </c>
      <c r="I13" s="44">
        <v>35.799999999999997</v>
      </c>
      <c r="J13" s="30">
        <v>46216</v>
      </c>
      <c r="K13" s="31"/>
      <c r="L13" s="32">
        <f>TAB_APONT[[#This Row],[Tarifa (R$/há)]]*TAB_APONT[[#This Row],[há aplicado]]</f>
        <v>0</v>
      </c>
      <c r="M13" s="35"/>
      <c r="N13" s="35"/>
      <c r="O13" s="35"/>
      <c r="P13" s="35"/>
    </row>
    <row r="14" spans="2:16" x14ac:dyDescent="0.3">
      <c r="B14" s="36" t="s">
        <v>32</v>
      </c>
      <c r="C14" s="36" t="s">
        <v>46</v>
      </c>
      <c r="D14" s="36"/>
      <c r="E14" s="36" t="s">
        <v>48</v>
      </c>
      <c r="F14" s="36" t="s">
        <v>26</v>
      </c>
      <c r="G14" s="37">
        <v>344</v>
      </c>
      <c r="H14" s="37">
        <v>51.87</v>
      </c>
      <c r="I14" s="43">
        <v>50.9</v>
      </c>
      <c r="J14" s="39">
        <v>46216</v>
      </c>
      <c r="K14" s="40"/>
      <c r="L14" s="41">
        <f>TAB_APONT[[#This Row],[Tarifa (R$/há)]]*TAB_APONT[[#This Row],[há aplicado]]</f>
        <v>0</v>
      </c>
      <c r="M14" s="42"/>
      <c r="N14" s="35"/>
      <c r="O14" s="35"/>
      <c r="P14" s="35"/>
    </row>
    <row r="15" spans="2:16" x14ac:dyDescent="0.3">
      <c r="B15" s="27" t="s">
        <v>25</v>
      </c>
      <c r="C15" s="27" t="s">
        <v>41</v>
      </c>
      <c r="D15" s="27"/>
      <c r="E15" s="27"/>
      <c r="F15" s="27" t="s">
        <v>27</v>
      </c>
      <c r="G15" s="45">
        <v>214</v>
      </c>
      <c r="H15" s="45">
        <v>32.69</v>
      </c>
      <c r="I15" s="44">
        <v>32.9</v>
      </c>
      <c r="J15" s="30">
        <v>46217</v>
      </c>
      <c r="K15" s="31"/>
      <c r="L15" s="32">
        <f>TAB_APONT[[#This Row],[Tarifa (R$/há)]]*TAB_APONT[[#This Row],[há aplicado]]</f>
        <v>0</v>
      </c>
      <c r="M15" s="42"/>
      <c r="N15" s="35"/>
      <c r="O15" s="35"/>
      <c r="P15" s="35"/>
    </row>
    <row r="16" spans="2:16" x14ac:dyDescent="0.3">
      <c r="B16" s="36" t="s">
        <v>25</v>
      </c>
      <c r="C16" s="36" t="s">
        <v>41</v>
      </c>
      <c r="D16" s="36"/>
      <c r="E16" s="36"/>
      <c r="F16" s="36" t="s">
        <v>27</v>
      </c>
      <c r="G16" s="37" t="s">
        <v>44</v>
      </c>
      <c r="H16" s="37" t="s">
        <v>45</v>
      </c>
      <c r="I16" s="38">
        <v>18.600000000000001</v>
      </c>
      <c r="J16" s="39">
        <v>46217</v>
      </c>
      <c r="K16" s="40"/>
      <c r="L16" s="41">
        <f>TAB_APONT[[#This Row],[Tarifa (R$/há)]]*TAB_APONT[[#This Row],[há aplicado]]</f>
        <v>0</v>
      </c>
      <c r="M16" s="42"/>
      <c r="N16" s="35"/>
      <c r="O16" s="35"/>
      <c r="P16" s="35"/>
    </row>
    <row r="17" spans="2:16" x14ac:dyDescent="0.3">
      <c r="B17" s="27" t="s">
        <v>32</v>
      </c>
      <c r="C17" s="27" t="s">
        <v>33</v>
      </c>
      <c r="D17" s="27"/>
      <c r="E17" s="27" t="s">
        <v>48</v>
      </c>
      <c r="F17" s="46" t="s">
        <v>28</v>
      </c>
      <c r="G17" s="47">
        <v>180</v>
      </c>
      <c r="H17" s="47">
        <v>37.229999999999997</v>
      </c>
      <c r="I17" s="48">
        <v>38.4</v>
      </c>
      <c r="J17" s="49">
        <v>46217</v>
      </c>
      <c r="K17" s="31"/>
      <c r="L17" s="32">
        <f>TAB_APONT[[#This Row],[Tarifa (R$/há)]]*TAB_APONT[[#This Row],[há aplicado]]</f>
        <v>0</v>
      </c>
      <c r="M17" s="42"/>
      <c r="N17" s="35"/>
      <c r="O17" s="35"/>
      <c r="P17" s="35"/>
    </row>
    <row r="18" spans="2:16" x14ac:dyDescent="0.3">
      <c r="B18" s="36" t="s">
        <v>32</v>
      </c>
      <c r="C18" s="36" t="s">
        <v>33</v>
      </c>
      <c r="D18" s="36"/>
      <c r="E18" s="36" t="s">
        <v>48</v>
      </c>
      <c r="F18" s="50" t="s">
        <v>34</v>
      </c>
      <c r="G18" s="51"/>
      <c r="H18" s="51"/>
      <c r="I18" s="52">
        <v>78.8</v>
      </c>
      <c r="J18" s="53">
        <v>46218</v>
      </c>
      <c r="K18" s="40"/>
      <c r="L18" s="41">
        <f>TAB_APONT[[#This Row],[Tarifa (R$/há)]]*TAB_APONT[[#This Row],[há aplicado]]</f>
        <v>0</v>
      </c>
      <c r="M18" s="42"/>
      <c r="N18" s="35"/>
      <c r="O18" s="35"/>
      <c r="P18" s="35"/>
    </row>
    <row r="19" spans="2:16" x14ac:dyDescent="0.3">
      <c r="B19" s="27" t="s">
        <v>25</v>
      </c>
      <c r="C19" s="27" t="s">
        <v>35</v>
      </c>
      <c r="D19" s="27"/>
      <c r="E19" s="27" t="s">
        <v>48</v>
      </c>
      <c r="F19" s="46" t="s">
        <v>30</v>
      </c>
      <c r="G19" s="47">
        <v>268</v>
      </c>
      <c r="H19" s="47">
        <v>48.7</v>
      </c>
      <c r="I19" s="48">
        <v>19.899999999999999</v>
      </c>
      <c r="J19" s="49">
        <v>46219</v>
      </c>
      <c r="K19" s="31"/>
      <c r="L19" s="32">
        <f>TAB_APONT[[#This Row],[Tarifa (R$/há)]]*TAB_APONT[[#This Row],[há aplicado]]</f>
        <v>0</v>
      </c>
      <c r="M19" s="42"/>
      <c r="N19" s="35"/>
      <c r="O19" s="35"/>
      <c r="P19" s="35"/>
    </row>
    <row r="20" spans="2:16" x14ac:dyDescent="0.3">
      <c r="B20" s="36" t="s">
        <v>25</v>
      </c>
      <c r="C20" s="36" t="s">
        <v>35</v>
      </c>
      <c r="D20" s="36"/>
      <c r="E20" s="36" t="s">
        <v>48</v>
      </c>
      <c r="F20" s="50" t="s">
        <v>30</v>
      </c>
      <c r="G20" s="51">
        <v>262</v>
      </c>
      <c r="H20" s="51">
        <v>50.47</v>
      </c>
      <c r="I20" s="52">
        <v>25.1</v>
      </c>
      <c r="J20" s="53">
        <v>46219</v>
      </c>
      <c r="K20" s="40"/>
      <c r="L20" s="41">
        <f>TAB_APONT[[#This Row],[Tarifa (R$/há)]]*TAB_APONT[[#This Row],[há aplicado]]</f>
        <v>0</v>
      </c>
      <c r="M20" s="42"/>
      <c r="N20" s="35"/>
      <c r="O20" s="35"/>
      <c r="P20" s="35"/>
    </row>
    <row r="21" spans="2:16" x14ac:dyDescent="0.3">
      <c r="B21" s="46" t="s">
        <v>32</v>
      </c>
      <c r="C21" s="27" t="s">
        <v>36</v>
      </c>
      <c r="D21" s="27"/>
      <c r="E21" s="27" t="s">
        <v>48</v>
      </c>
      <c r="F21" s="46" t="s">
        <v>30</v>
      </c>
      <c r="G21" s="47">
        <v>265</v>
      </c>
      <c r="H21" s="47">
        <v>48.43</v>
      </c>
      <c r="I21" s="48">
        <v>17.2</v>
      </c>
      <c r="J21" s="49">
        <v>46220</v>
      </c>
      <c r="K21" s="31"/>
      <c r="L21" s="32">
        <f>TAB_APONT[[#This Row],[Tarifa (R$/há)]]*TAB_APONT[[#This Row],[há aplicado]]</f>
        <v>0</v>
      </c>
      <c r="M21" s="42"/>
      <c r="N21" s="35"/>
      <c r="O21" s="35"/>
      <c r="P21" s="35"/>
    </row>
    <row r="22" spans="2:16" x14ac:dyDescent="0.3">
      <c r="B22" s="50" t="s">
        <v>25</v>
      </c>
      <c r="C22" s="36" t="s">
        <v>41</v>
      </c>
      <c r="D22" s="36"/>
      <c r="E22" s="36"/>
      <c r="F22" s="50" t="s">
        <v>29</v>
      </c>
      <c r="G22" s="51">
        <v>393</v>
      </c>
      <c r="H22" s="51">
        <v>70.89</v>
      </c>
      <c r="I22" s="52">
        <v>40.799999999999997</v>
      </c>
      <c r="J22" s="53">
        <v>46220</v>
      </c>
      <c r="K22" s="40"/>
      <c r="L22" s="41">
        <f>TAB_APONT[[#This Row],[Tarifa (R$/há)]]*TAB_APONT[[#This Row],[há aplicado]]</f>
        <v>0</v>
      </c>
      <c r="M22" s="42"/>
      <c r="N22" s="35"/>
      <c r="O22" s="35"/>
      <c r="P22" s="35"/>
    </row>
    <row r="23" spans="2:16" x14ac:dyDescent="0.3">
      <c r="B23" s="46" t="s">
        <v>25</v>
      </c>
      <c r="C23" s="27" t="s">
        <v>41</v>
      </c>
      <c r="D23" s="27"/>
      <c r="E23" s="27"/>
      <c r="F23" s="46" t="s">
        <v>29</v>
      </c>
      <c r="G23" s="47">
        <v>392</v>
      </c>
      <c r="H23" s="47">
        <v>60.85</v>
      </c>
      <c r="I23" s="48">
        <v>18.399999999999999</v>
      </c>
      <c r="J23" s="49">
        <v>46220</v>
      </c>
      <c r="K23" s="31"/>
      <c r="L23" s="32">
        <f>TAB_APONT[[#This Row],[Tarifa (R$/há)]]*TAB_APONT[[#This Row],[há aplicado]]</f>
        <v>0</v>
      </c>
      <c r="M23" s="42"/>
      <c r="N23" s="35"/>
      <c r="O23" s="35"/>
      <c r="P23" s="35"/>
    </row>
    <row r="24" spans="2:16" x14ac:dyDescent="0.3">
      <c r="B24" s="36" t="s">
        <v>32</v>
      </c>
      <c r="C24" s="36" t="s">
        <v>33</v>
      </c>
      <c r="D24" s="36"/>
      <c r="E24" s="36" t="s">
        <v>48</v>
      </c>
      <c r="F24" s="50" t="s">
        <v>26</v>
      </c>
      <c r="G24" s="51">
        <v>220</v>
      </c>
      <c r="H24" s="51">
        <v>61.01</v>
      </c>
      <c r="I24" s="52">
        <v>63.1</v>
      </c>
      <c r="J24" s="53">
        <v>46220</v>
      </c>
      <c r="K24" s="40"/>
      <c r="L24" s="41">
        <f>TAB_APONT[[#This Row],[Tarifa (R$/há)]]*TAB_APONT[[#This Row],[há aplicado]]</f>
        <v>0</v>
      </c>
      <c r="M24" s="42"/>
      <c r="N24" s="35"/>
      <c r="O24" s="35"/>
      <c r="P24" s="35"/>
    </row>
    <row r="25" spans="2:16" x14ac:dyDescent="0.3">
      <c r="B25" s="46" t="s">
        <v>25</v>
      </c>
      <c r="C25" s="27" t="s">
        <v>41</v>
      </c>
      <c r="D25" s="27"/>
      <c r="E25" s="27"/>
      <c r="F25" s="46" t="s">
        <v>29</v>
      </c>
      <c r="G25" s="47" t="s">
        <v>21</v>
      </c>
      <c r="H25" s="47"/>
      <c r="I25" s="48">
        <v>9.4</v>
      </c>
      <c r="J25" s="49">
        <v>46223</v>
      </c>
      <c r="K25" s="31"/>
      <c r="L25" s="32">
        <f>TAB_APONT[[#This Row],[Tarifa (R$/há)]]*TAB_APONT[[#This Row],[há aplicado]]</f>
        <v>0</v>
      </c>
      <c r="M25" s="42"/>
      <c r="N25" s="35"/>
      <c r="O25" s="35"/>
      <c r="P25" s="35"/>
    </row>
    <row r="26" spans="2:16" x14ac:dyDescent="0.3">
      <c r="B26" s="50" t="s">
        <v>25</v>
      </c>
      <c r="C26" s="36" t="s">
        <v>41</v>
      </c>
      <c r="D26" s="36"/>
      <c r="E26" s="36"/>
      <c r="F26" s="50" t="s">
        <v>29</v>
      </c>
      <c r="G26" s="51" t="s">
        <v>22</v>
      </c>
      <c r="H26" s="51"/>
      <c r="I26" s="52">
        <v>20.3</v>
      </c>
      <c r="J26" s="53">
        <v>46223</v>
      </c>
      <c r="K26" s="40"/>
      <c r="L26" s="41">
        <f>TAB_APONT[[#This Row],[Tarifa (R$/há)]]*TAB_APONT[[#This Row],[há aplicado]]</f>
        <v>0</v>
      </c>
      <c r="M26" s="42"/>
      <c r="N26" s="35"/>
      <c r="O26" s="35"/>
      <c r="P26" s="35"/>
    </row>
    <row r="27" spans="2:16" x14ac:dyDescent="0.3">
      <c r="B27" s="46" t="s">
        <v>25</v>
      </c>
      <c r="C27" s="27" t="s">
        <v>41</v>
      </c>
      <c r="D27" s="27"/>
      <c r="E27" s="27"/>
      <c r="F27" s="46" t="s">
        <v>29</v>
      </c>
      <c r="G27" s="47" t="s">
        <v>23</v>
      </c>
      <c r="H27" s="47"/>
      <c r="I27" s="48">
        <v>1.2</v>
      </c>
      <c r="J27" s="49">
        <v>46223</v>
      </c>
      <c r="K27" s="31"/>
      <c r="L27" s="32">
        <f>TAB_APONT[[#This Row],[Tarifa (R$/há)]]*TAB_APONT[[#This Row],[há aplicado]]</f>
        <v>0</v>
      </c>
      <c r="M27" s="42"/>
      <c r="N27" s="35"/>
      <c r="O27" s="35"/>
      <c r="P27" s="35"/>
    </row>
    <row r="28" spans="2:16" x14ac:dyDescent="0.3">
      <c r="B28" s="50" t="s">
        <v>37</v>
      </c>
      <c r="C28" s="36" t="s">
        <v>38</v>
      </c>
      <c r="D28" s="36"/>
      <c r="E28" s="36" t="s">
        <v>48</v>
      </c>
      <c r="F28" s="50" t="s">
        <v>31</v>
      </c>
      <c r="G28" s="51">
        <v>638</v>
      </c>
      <c r="H28" s="51">
        <v>49.02</v>
      </c>
      <c r="I28" s="52">
        <v>19.399999999999999</v>
      </c>
      <c r="J28" s="53">
        <v>46223</v>
      </c>
      <c r="K28" s="40"/>
      <c r="L28" s="41">
        <f>TAB_APONT[[#This Row],[Tarifa (R$/há)]]*TAB_APONT[[#This Row],[há aplicado]]</f>
        <v>0</v>
      </c>
      <c r="M28" s="42"/>
      <c r="N28" s="35"/>
      <c r="O28" s="35"/>
      <c r="P28" s="35"/>
    </row>
    <row r="29" spans="2:16" x14ac:dyDescent="0.3">
      <c r="B29" s="46" t="s">
        <v>37</v>
      </c>
      <c r="C29" s="27" t="s">
        <v>38</v>
      </c>
      <c r="D29" s="27"/>
      <c r="E29" s="27" t="s">
        <v>48</v>
      </c>
      <c r="F29" s="46" t="s">
        <v>31</v>
      </c>
      <c r="G29" s="47">
        <v>640</v>
      </c>
      <c r="H29" s="47">
        <v>49.19</v>
      </c>
      <c r="I29" s="48">
        <v>19.7</v>
      </c>
      <c r="J29" s="49">
        <v>46224</v>
      </c>
      <c r="K29" s="31"/>
      <c r="L29" s="32">
        <f>TAB_APONT[[#This Row],[Tarifa (R$/há)]]*TAB_APONT[[#This Row],[há aplicado]]</f>
        <v>0</v>
      </c>
      <c r="M29" s="42"/>
      <c r="N29" s="35"/>
      <c r="O29" s="35"/>
      <c r="P29" s="35"/>
    </row>
    <row r="30" spans="2:16" x14ac:dyDescent="0.3">
      <c r="B30" s="50" t="s">
        <v>37</v>
      </c>
      <c r="C30" s="36" t="s">
        <v>38</v>
      </c>
      <c r="D30" s="36"/>
      <c r="E30" s="36" t="s">
        <v>48</v>
      </c>
      <c r="F30" s="50" t="s">
        <v>31</v>
      </c>
      <c r="G30" s="51">
        <v>641</v>
      </c>
      <c r="H30" s="51">
        <v>68.650000000000006</v>
      </c>
      <c r="I30" s="52">
        <v>28.1</v>
      </c>
      <c r="J30" s="53">
        <v>46224</v>
      </c>
      <c r="K30" s="40"/>
      <c r="L30" s="41">
        <f>TAB_APONT[[#This Row],[Tarifa (R$/há)]]*TAB_APONT[[#This Row],[há aplicado]]</f>
        <v>0</v>
      </c>
      <c r="M30" s="42"/>
      <c r="N30" s="35"/>
      <c r="O30" s="35"/>
      <c r="P30" s="35"/>
    </row>
    <row r="31" spans="2:16" x14ac:dyDescent="0.3">
      <c r="B31" s="46" t="s">
        <v>37</v>
      </c>
      <c r="C31" s="27" t="s">
        <v>38</v>
      </c>
      <c r="D31" s="27"/>
      <c r="E31" s="27" t="s">
        <v>48</v>
      </c>
      <c r="F31" s="46" t="s">
        <v>31</v>
      </c>
      <c r="G31" s="47">
        <v>639</v>
      </c>
      <c r="H31" s="47">
        <v>49.07</v>
      </c>
      <c r="I31" s="48">
        <v>19.100000000000001</v>
      </c>
      <c r="J31" s="49">
        <v>46225</v>
      </c>
      <c r="K31" s="31"/>
      <c r="L31" s="32">
        <f>TAB_APONT[[#This Row],[Tarifa (R$/há)]]*TAB_APONT[[#This Row],[há aplicado]]</f>
        <v>0</v>
      </c>
      <c r="M31" s="42"/>
      <c r="N31" s="35"/>
      <c r="O31" s="35"/>
      <c r="P31" s="35"/>
    </row>
    <row r="32" spans="2:16" x14ac:dyDescent="0.3">
      <c r="B32" s="50" t="s">
        <v>37</v>
      </c>
      <c r="C32" s="36" t="s">
        <v>38</v>
      </c>
      <c r="D32" s="36"/>
      <c r="E32" s="36" t="s">
        <v>48</v>
      </c>
      <c r="F32" s="50" t="s">
        <v>31</v>
      </c>
      <c r="G32" s="51">
        <v>637</v>
      </c>
      <c r="H32" s="51">
        <v>48.41</v>
      </c>
      <c r="I32" s="52">
        <v>18.899999999999999</v>
      </c>
      <c r="J32" s="53">
        <v>46225</v>
      </c>
      <c r="K32" s="40"/>
      <c r="L32" s="41">
        <f>TAB_APONT[[#This Row],[Tarifa (R$/há)]]*TAB_APONT[[#This Row],[há aplicado]]</f>
        <v>0</v>
      </c>
      <c r="M32" s="42"/>
      <c r="N32" s="35"/>
      <c r="O32" s="35"/>
      <c r="P32" s="35"/>
    </row>
    <row r="33" spans="2:16" x14ac:dyDescent="0.3">
      <c r="B33" s="46" t="s">
        <v>39</v>
      </c>
      <c r="C33" s="27" t="s">
        <v>40</v>
      </c>
      <c r="D33" s="27"/>
      <c r="E33" s="27" t="s">
        <v>48</v>
      </c>
      <c r="F33" s="46" t="s">
        <v>30</v>
      </c>
      <c r="G33" s="47">
        <v>262</v>
      </c>
      <c r="H33" s="47">
        <v>50.47</v>
      </c>
      <c r="I33" s="48">
        <v>17.100000000000001</v>
      </c>
      <c r="J33" s="49">
        <v>46226</v>
      </c>
      <c r="K33" s="31"/>
      <c r="L33" s="32">
        <f>TAB_APONT[[#This Row],[Tarifa (R$/há)]]*TAB_APONT[[#This Row],[há aplicado]]</f>
        <v>0</v>
      </c>
      <c r="M33" s="42"/>
      <c r="N33" s="35"/>
      <c r="O33" s="35"/>
      <c r="P33" s="35"/>
    </row>
    <row r="34" spans="2:16" x14ac:dyDescent="0.3">
      <c r="B34" s="50" t="s">
        <v>39</v>
      </c>
      <c r="C34" s="36" t="s">
        <v>40</v>
      </c>
      <c r="D34" s="36"/>
      <c r="E34" s="36" t="s">
        <v>48</v>
      </c>
      <c r="F34" s="50" t="s">
        <v>30</v>
      </c>
      <c r="G34" s="51">
        <v>268</v>
      </c>
      <c r="H34" s="51">
        <v>48.7</v>
      </c>
      <c r="I34" s="52">
        <v>18.8</v>
      </c>
      <c r="J34" s="53">
        <v>46226</v>
      </c>
      <c r="K34" s="40"/>
      <c r="L34" s="41">
        <f>TAB_APONT[[#This Row],[Tarifa (R$/há)]]*TAB_APONT[[#This Row],[há aplicado]]</f>
        <v>0</v>
      </c>
      <c r="M34" s="42"/>
      <c r="N34" s="35"/>
      <c r="O34" s="35"/>
      <c r="P34" s="35"/>
    </row>
    <row r="35" spans="2:16" x14ac:dyDescent="0.3">
      <c r="B35" s="46" t="s">
        <v>39</v>
      </c>
      <c r="C35" s="75" t="s">
        <v>43</v>
      </c>
      <c r="D35" s="27"/>
      <c r="E35" s="27" t="s">
        <v>48</v>
      </c>
      <c r="F35" s="46" t="s">
        <v>26</v>
      </c>
      <c r="G35" s="47">
        <v>222</v>
      </c>
      <c r="H35" s="47">
        <v>55.46</v>
      </c>
      <c r="I35" s="48">
        <v>53.8</v>
      </c>
      <c r="J35" s="49">
        <v>46226</v>
      </c>
      <c r="K35" s="31"/>
      <c r="L35" s="32">
        <f>TAB_APONT[[#This Row],[Tarifa (R$/há)]]*TAB_APONT[[#This Row],[há aplicado]]</f>
        <v>0</v>
      </c>
      <c r="M35" s="42"/>
      <c r="N35" s="35"/>
      <c r="O35" s="35"/>
      <c r="P35" s="35"/>
    </row>
    <row r="36" spans="2:16" x14ac:dyDescent="0.3">
      <c r="B36" s="50" t="s">
        <v>25</v>
      </c>
      <c r="C36" s="36" t="s">
        <v>41</v>
      </c>
      <c r="D36" s="36"/>
      <c r="E36" s="36"/>
      <c r="F36" s="50" t="s">
        <v>29</v>
      </c>
      <c r="G36" s="51">
        <v>504</v>
      </c>
      <c r="H36" s="51">
        <v>32.86</v>
      </c>
      <c r="I36" s="52">
        <v>15</v>
      </c>
      <c r="J36" s="53">
        <v>46227</v>
      </c>
      <c r="K36" s="40"/>
      <c r="L36" s="41">
        <f>TAB_APONT[[#This Row],[Tarifa (R$/há)]]*TAB_APONT[[#This Row],[há aplicado]]</f>
        <v>0</v>
      </c>
      <c r="M36" s="42"/>
      <c r="N36" s="35"/>
      <c r="O36" s="35"/>
      <c r="P36" s="35"/>
    </row>
    <row r="37" spans="2:16" x14ac:dyDescent="0.3">
      <c r="B37" s="46" t="s">
        <v>25</v>
      </c>
      <c r="C37" s="27" t="s">
        <v>41</v>
      </c>
      <c r="D37" s="27"/>
      <c r="E37" s="27"/>
      <c r="F37" s="46" t="s">
        <v>29</v>
      </c>
      <c r="G37" s="47">
        <v>506</v>
      </c>
      <c r="H37" s="47">
        <v>44.45</v>
      </c>
      <c r="I37" s="48">
        <v>8.6999999999999993</v>
      </c>
      <c r="J37" s="49">
        <v>46227</v>
      </c>
      <c r="K37" s="31"/>
      <c r="L37" s="32">
        <f>TAB_APONT[[#This Row],[Tarifa (R$/há)]]*TAB_APONT[[#This Row],[há aplicado]]</f>
        <v>0</v>
      </c>
      <c r="M37" s="42"/>
      <c r="N37" s="35"/>
      <c r="O37" s="35"/>
      <c r="P37" s="35"/>
    </row>
    <row r="38" spans="2:16" x14ac:dyDescent="0.3">
      <c r="B38" s="50" t="s">
        <v>25</v>
      </c>
      <c r="C38" s="36" t="s">
        <v>41</v>
      </c>
      <c r="D38" s="36"/>
      <c r="E38" s="36"/>
      <c r="F38" s="50" t="s">
        <v>29</v>
      </c>
      <c r="G38" s="51">
        <v>502</v>
      </c>
      <c r="H38" s="51">
        <v>33.53</v>
      </c>
      <c r="I38" s="52">
        <v>8</v>
      </c>
      <c r="J38" s="53">
        <v>46227</v>
      </c>
      <c r="K38" s="40"/>
      <c r="L38" s="41">
        <f>TAB_APONT[[#This Row],[Tarifa (R$/há)]]*TAB_APONT[[#This Row],[há aplicado]]</f>
        <v>0</v>
      </c>
      <c r="M38" s="42"/>
      <c r="N38" s="35"/>
      <c r="O38" s="35"/>
      <c r="P38" s="35"/>
    </row>
    <row r="39" spans="2:16" x14ac:dyDescent="0.3">
      <c r="B39" s="46" t="s">
        <v>25</v>
      </c>
      <c r="C39" s="27" t="s">
        <v>41</v>
      </c>
      <c r="D39" s="27"/>
      <c r="E39" s="27"/>
      <c r="F39" s="46" t="s">
        <v>29</v>
      </c>
      <c r="G39" s="47">
        <v>503</v>
      </c>
      <c r="H39" s="47">
        <v>27.58</v>
      </c>
      <c r="I39" s="48">
        <v>14</v>
      </c>
      <c r="J39" s="49">
        <v>46227</v>
      </c>
      <c r="K39" s="31"/>
      <c r="L39" s="32">
        <f>TAB_APONT[[#This Row],[Tarifa (R$/há)]]*TAB_APONT[[#This Row],[há aplicado]]</f>
        <v>0</v>
      </c>
      <c r="M39" s="42"/>
      <c r="N39" s="35"/>
      <c r="O39" s="35"/>
      <c r="P39" s="35"/>
    </row>
    <row r="40" spans="2:16" x14ac:dyDescent="0.3">
      <c r="B40" s="50" t="s">
        <v>25</v>
      </c>
      <c r="C40" s="36" t="s">
        <v>42</v>
      </c>
      <c r="D40" s="36"/>
      <c r="E40" s="36"/>
      <c r="F40" s="50" t="s">
        <v>29</v>
      </c>
      <c r="G40" s="51">
        <v>501</v>
      </c>
      <c r="H40" s="51">
        <v>24.71</v>
      </c>
      <c r="I40" s="52">
        <v>8.1999999999999993</v>
      </c>
      <c r="J40" s="53">
        <v>46227</v>
      </c>
      <c r="K40" s="40"/>
      <c r="L40" s="41">
        <f>TAB_APONT[[#This Row],[Tarifa (R$/há)]]*TAB_APONT[[#This Row],[há aplicado]]</f>
        <v>0</v>
      </c>
      <c r="M40" s="42"/>
      <c r="N40" s="35"/>
      <c r="O40" s="35"/>
      <c r="P40" s="35"/>
    </row>
    <row r="41" spans="2:16" x14ac:dyDescent="0.3">
      <c r="B41" s="46" t="s">
        <v>25</v>
      </c>
      <c r="C41" s="27" t="s">
        <v>42</v>
      </c>
      <c r="D41" s="27"/>
      <c r="E41" s="27"/>
      <c r="F41" s="46" t="s">
        <v>29</v>
      </c>
      <c r="G41" s="47">
        <v>507</v>
      </c>
      <c r="H41" s="47">
        <v>36.270000000000003</v>
      </c>
      <c r="I41" s="48">
        <v>12</v>
      </c>
      <c r="J41" s="49">
        <v>46227</v>
      </c>
      <c r="K41" s="31"/>
      <c r="L41" s="32">
        <f>TAB_APONT[[#This Row],[Tarifa (R$/há)]]*TAB_APONT[[#This Row],[há aplicado]]</f>
        <v>0</v>
      </c>
      <c r="M41" s="42"/>
      <c r="N41" s="35"/>
      <c r="O41" s="35"/>
      <c r="P41" s="35"/>
    </row>
    <row r="42" spans="2:16" x14ac:dyDescent="0.3">
      <c r="B42" s="50" t="s">
        <v>25</v>
      </c>
      <c r="C42" s="36" t="s">
        <v>42</v>
      </c>
      <c r="D42" s="36"/>
      <c r="E42" s="36"/>
      <c r="F42" s="50" t="s">
        <v>29</v>
      </c>
      <c r="G42" s="51" t="s">
        <v>24</v>
      </c>
      <c r="H42" s="51"/>
      <c r="I42" s="52">
        <v>7.8</v>
      </c>
      <c r="J42" s="53">
        <v>46228</v>
      </c>
      <c r="K42" s="40"/>
      <c r="L42" s="41">
        <f>TAB_APONT[[#This Row],[Tarifa (R$/há)]]*TAB_APONT[[#This Row],[há aplicado]]</f>
        <v>0</v>
      </c>
      <c r="M42" s="42"/>
      <c r="N42" s="35"/>
      <c r="O42" s="35"/>
      <c r="P42" s="35"/>
    </row>
    <row r="43" spans="2:16" x14ac:dyDescent="0.3">
      <c r="B43" s="46" t="s">
        <v>25</v>
      </c>
      <c r="C43" s="27" t="s">
        <v>42</v>
      </c>
      <c r="D43" s="27"/>
      <c r="E43" s="27"/>
      <c r="F43" s="46" t="s">
        <v>52</v>
      </c>
      <c r="G43" s="47">
        <v>600</v>
      </c>
      <c r="H43" s="47">
        <v>47.47</v>
      </c>
      <c r="I43" s="48">
        <v>13.5</v>
      </c>
      <c r="J43" s="49">
        <v>46228</v>
      </c>
      <c r="K43" s="31"/>
      <c r="L43" s="32">
        <f>TAB_APONT[[#This Row],[Tarifa (R$/há)]]*TAB_APONT[[#This Row],[há aplicado]]</f>
        <v>0</v>
      </c>
      <c r="M43" s="42"/>
      <c r="N43" s="35"/>
      <c r="O43" s="35"/>
      <c r="P43" s="35"/>
    </row>
    <row r="44" spans="2:16" x14ac:dyDescent="0.3">
      <c r="B44" s="50" t="s">
        <v>25</v>
      </c>
      <c r="C44" s="36" t="s">
        <v>53</v>
      </c>
      <c r="D44" s="36"/>
      <c r="E44" s="36"/>
      <c r="F44" s="50" t="s">
        <v>28</v>
      </c>
      <c r="G44" s="51">
        <v>482</v>
      </c>
      <c r="H44" s="51">
        <v>40.72</v>
      </c>
      <c r="I44" s="52">
        <v>8.6999999999999993</v>
      </c>
      <c r="J44" s="53">
        <v>46230</v>
      </c>
      <c r="K44" s="40"/>
      <c r="L44" s="41">
        <f>TAB_APONT[[#This Row],[Tarifa (R$/há)]]*TAB_APONT[[#This Row],[há aplicado]]</f>
        <v>0</v>
      </c>
      <c r="M44" s="42"/>
      <c r="N44" s="35"/>
      <c r="O44" s="35"/>
      <c r="P44" s="35"/>
    </row>
    <row r="45" spans="2:16" x14ac:dyDescent="0.3">
      <c r="B45" s="46" t="s">
        <v>25</v>
      </c>
      <c r="C45" s="27" t="s">
        <v>53</v>
      </c>
      <c r="D45" s="27"/>
      <c r="E45" s="27"/>
      <c r="F45" s="46" t="s">
        <v>28</v>
      </c>
      <c r="G45" s="47">
        <v>478</v>
      </c>
      <c r="H45" s="47">
        <v>38.619999999999997</v>
      </c>
      <c r="I45" s="48">
        <v>7.3</v>
      </c>
      <c r="J45" s="49">
        <v>46230</v>
      </c>
      <c r="K45" s="31"/>
      <c r="L45" s="32">
        <f>TAB_APONT[[#This Row],[Tarifa (R$/há)]]*TAB_APONT[[#This Row],[há aplicado]]</f>
        <v>0</v>
      </c>
      <c r="M45" s="42"/>
      <c r="N45" s="35"/>
      <c r="O45" s="35"/>
      <c r="P45" s="35"/>
    </row>
    <row r="46" spans="2:16" x14ac:dyDescent="0.3">
      <c r="B46" s="36" t="s">
        <v>32</v>
      </c>
      <c r="C46" s="36" t="s">
        <v>33</v>
      </c>
      <c r="D46" s="36"/>
      <c r="E46" s="36"/>
      <c r="F46" s="50" t="s">
        <v>28</v>
      </c>
      <c r="G46" s="51">
        <v>177</v>
      </c>
      <c r="H46" s="51">
        <v>37.42</v>
      </c>
      <c r="I46" s="52">
        <v>37.299999999999997</v>
      </c>
      <c r="J46" s="53">
        <v>46230</v>
      </c>
      <c r="K46" s="40"/>
      <c r="L46" s="41">
        <f>TAB_APONT[[#This Row],[Tarifa (R$/há)]]*TAB_APONT[[#This Row],[há aplicado]]</f>
        <v>0</v>
      </c>
      <c r="M46" s="42"/>
      <c r="N46" s="35"/>
      <c r="O46" s="35"/>
      <c r="P46" s="35"/>
    </row>
    <row r="47" spans="2:16" x14ac:dyDescent="0.3">
      <c r="B47" s="46" t="s">
        <v>32</v>
      </c>
      <c r="C47" s="27" t="s">
        <v>33</v>
      </c>
      <c r="D47" s="27"/>
      <c r="E47" s="27"/>
      <c r="F47" s="46" t="s">
        <v>28</v>
      </c>
      <c r="G47" s="47">
        <v>178</v>
      </c>
      <c r="H47" s="47">
        <v>53.75</v>
      </c>
      <c r="I47" s="48">
        <v>52</v>
      </c>
      <c r="J47" s="49">
        <v>46231</v>
      </c>
      <c r="K47" s="31"/>
      <c r="L47" s="32">
        <f>TAB_APONT[[#This Row],[Tarifa (R$/há)]]*TAB_APONT[[#This Row],[há aplicado]]</f>
        <v>0</v>
      </c>
      <c r="M47" s="42"/>
      <c r="N47" s="35"/>
      <c r="O47" s="35"/>
      <c r="P47" s="35"/>
    </row>
    <row r="48" spans="2:16" x14ac:dyDescent="0.3">
      <c r="B48" s="50" t="s">
        <v>25</v>
      </c>
      <c r="C48" s="36" t="s">
        <v>53</v>
      </c>
      <c r="D48" s="36"/>
      <c r="E48" s="36"/>
      <c r="F48" s="50" t="s">
        <v>31</v>
      </c>
      <c r="G48" s="51">
        <v>633</v>
      </c>
      <c r="H48" s="51">
        <v>89.49</v>
      </c>
      <c r="I48" s="52">
        <v>88.3</v>
      </c>
      <c r="J48" s="53">
        <v>46231</v>
      </c>
      <c r="K48" s="40"/>
      <c r="L48" s="41">
        <f>TAB_APONT[[#This Row],[Tarifa (R$/há)]]*TAB_APONT[[#This Row],[há aplicado]]</f>
        <v>0</v>
      </c>
      <c r="M48" s="42"/>
      <c r="N48" s="35"/>
      <c r="O48" s="35"/>
      <c r="P48" s="35"/>
    </row>
    <row r="49" spans="2:16" x14ac:dyDescent="0.3">
      <c r="B49" s="46" t="s">
        <v>25</v>
      </c>
      <c r="C49" s="27" t="s">
        <v>53</v>
      </c>
      <c r="D49" s="27"/>
      <c r="E49" s="27"/>
      <c r="F49" s="46" t="s">
        <v>31</v>
      </c>
      <c r="G49" s="47">
        <v>620</v>
      </c>
      <c r="H49" s="47">
        <v>60.25</v>
      </c>
      <c r="I49" s="48">
        <v>41.6</v>
      </c>
      <c r="J49" s="49">
        <v>46232</v>
      </c>
      <c r="K49" s="31"/>
      <c r="L49" s="32">
        <f>TAB_APONT[[#This Row],[Tarifa (R$/há)]]*TAB_APONT[[#This Row],[há aplicado]]</f>
        <v>0</v>
      </c>
      <c r="M49" s="42"/>
      <c r="N49" s="35"/>
      <c r="O49" s="35"/>
      <c r="P49" s="35"/>
    </row>
    <row r="50" spans="2:16" x14ac:dyDescent="0.3">
      <c r="B50" s="50" t="s">
        <v>25</v>
      </c>
      <c r="C50" s="36" t="s">
        <v>35</v>
      </c>
      <c r="D50" s="36" t="s">
        <v>51</v>
      </c>
      <c r="E50" s="36" t="s">
        <v>50</v>
      </c>
      <c r="F50" s="50" t="s">
        <v>29</v>
      </c>
      <c r="G50" s="51">
        <v>500</v>
      </c>
      <c r="H50" s="51">
        <v>29.05</v>
      </c>
      <c r="I50" s="52">
        <v>28.5</v>
      </c>
      <c r="J50" s="53">
        <v>46232</v>
      </c>
      <c r="K50" s="40"/>
      <c r="L50" s="41">
        <f>TAB_APONT[[#This Row],[Tarifa (R$/há)]]*TAB_APONT[[#This Row],[há aplicado]]</f>
        <v>0</v>
      </c>
      <c r="M50" s="42"/>
      <c r="N50" s="35"/>
      <c r="O50" s="35"/>
      <c r="P50" s="35"/>
    </row>
    <row r="51" spans="2:16" x14ac:dyDescent="0.3">
      <c r="B51" s="46" t="s">
        <v>17</v>
      </c>
      <c r="C51" s="27"/>
      <c r="D51" s="27"/>
      <c r="E51" s="27"/>
      <c r="F51" s="46"/>
      <c r="G51" s="47"/>
      <c r="H51" s="47"/>
      <c r="I51" s="48"/>
      <c r="J51" s="49"/>
      <c r="K51" s="74"/>
      <c r="L51" s="32">
        <v>2770</v>
      </c>
      <c r="M51" s="42"/>
      <c r="N51" s="35"/>
      <c r="O51" s="35"/>
      <c r="P51" s="35"/>
    </row>
    <row r="52" spans="2:16" x14ac:dyDescent="0.3">
      <c r="B52" s="61" t="s">
        <v>18</v>
      </c>
      <c r="C52" s="62" t="s">
        <v>19</v>
      </c>
      <c r="D52" s="62"/>
      <c r="E52" s="62"/>
      <c r="F52" s="61"/>
      <c r="G52" s="63"/>
      <c r="H52" s="63">
        <v>616.1</v>
      </c>
      <c r="I52" s="64"/>
      <c r="J52" s="65"/>
      <c r="K52" s="66">
        <v>5.85</v>
      </c>
      <c r="L52" s="67">
        <f>-TAB_APONT[[#This Row],[há total]]*TAB_APONT[[#This Row],[Tarifa (R$/há)]]</f>
        <v>-3604.1849999999999</v>
      </c>
      <c r="M52" s="60">
        <f>-TAB_APONT[[#This Row],[há aplicado]]*TAB_APONT[[#This Row],[Valor Total]]</f>
        <v>0</v>
      </c>
      <c r="N52" s="60">
        <f>-TAB_APONT[[#This Row],[Data Início]]*TAB_APONT[[#This Row],[Insumos]]</f>
        <v>0</v>
      </c>
      <c r="O52" s="60">
        <f>-TAB_APONT[[#This Row],[Tarifa (R$/há)]]*TAB_APONT[[#This Row],[Qtde ]]</f>
        <v>0</v>
      </c>
      <c r="P52" s="60">
        <f>-TAB_APONT[[#This Row],[Valor Total]]*TAB_APONT[[#This Row],[Recomendação2]]</f>
        <v>0</v>
      </c>
    </row>
    <row r="53" spans="2:16" x14ac:dyDescent="0.3">
      <c r="B53" s="54"/>
      <c r="C53" s="55" t="s">
        <v>20</v>
      </c>
      <c r="D53" s="27"/>
      <c r="E53" s="27"/>
      <c r="F53" s="54"/>
      <c r="G53" s="56"/>
      <c r="H53" s="56">
        <v>226.6</v>
      </c>
      <c r="I53" s="57"/>
      <c r="J53" s="58"/>
      <c r="K53" s="59">
        <v>6.19</v>
      </c>
      <c r="L53" s="60">
        <f>-TAB_APONT[[#This Row],[há total]]*TAB_APONT[[#This Row],[Tarifa (R$/há)]]</f>
        <v>-1402.654</v>
      </c>
      <c r="M53" s="42"/>
      <c r="N53" s="35"/>
      <c r="O53" s="35"/>
      <c r="P53" s="35"/>
    </row>
    <row r="54" spans="2:16" x14ac:dyDescent="0.3">
      <c r="B54" s="68"/>
      <c r="C54" s="68"/>
      <c r="D54" s="69"/>
      <c r="E54" s="69"/>
      <c r="F54" s="68"/>
      <c r="G54" s="70"/>
      <c r="H54" s="77"/>
      <c r="I54" s="77">
        <f>SUBTOTAL(109,TAB_APONT[há aplicado])</f>
        <v>1255.8999999999999</v>
      </c>
      <c r="J54" s="71"/>
      <c r="K54" s="68"/>
      <c r="L54" s="72">
        <f>SUBTOTAL(109,TAB_APONT[Valor Total])</f>
        <v>-2236.8389999999999</v>
      </c>
      <c r="M54" s="42"/>
      <c r="N54" s="35"/>
      <c r="O54" s="35"/>
      <c r="P54" s="35"/>
    </row>
    <row r="59" spans="2:16" x14ac:dyDescent="0.3">
      <c r="I59" s="73"/>
    </row>
    <row r="60" spans="2:16" x14ac:dyDescent="0.3">
      <c r="I60" s="73"/>
    </row>
    <row r="61" spans="2:16" x14ac:dyDescent="0.3">
      <c r="I61" s="7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Julho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2026-07-31T14:46:30Z</dcterms:modified>
</cp:coreProperties>
</file>