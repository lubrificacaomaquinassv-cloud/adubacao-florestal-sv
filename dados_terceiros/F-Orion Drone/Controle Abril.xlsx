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V:\Usuários\Florestal 2026\TERCEIROS\F-Orion Drone\"/>
    </mc:Choice>
  </mc:AlternateContent>
  <xr:revisionPtr revIDLastSave="0" documentId="13_ncr:1_{E9EFFA5F-CD6B-44CB-9A4A-C00CBE155A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bril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L24" i="1"/>
  <c r="L25" i="1"/>
  <c r="L26" i="1"/>
  <c r="L27" i="1"/>
  <c r="L28" i="1"/>
  <c r="L29" i="1"/>
  <c r="L23" i="1"/>
  <c r="L18" i="1"/>
  <c r="L19" i="1"/>
  <c r="L20" i="1"/>
  <c r="L8" i="1"/>
  <c r="L22" i="1"/>
  <c r="L21" i="1"/>
  <c r="I32" i="1"/>
  <c r="L17" i="1"/>
  <c r="L16" i="1"/>
  <c r="L15" i="1"/>
  <c r="L14" i="1"/>
  <c r="L13" i="1"/>
  <c r="L12" i="1"/>
  <c r="L11" i="1"/>
  <c r="L10" i="1"/>
  <c r="L9" i="1"/>
  <c r="L7" i="1"/>
  <c r="L32" i="1" l="1"/>
</calcChain>
</file>

<file path=xl/sharedStrings.xml><?xml version="1.0" encoding="utf-8"?>
<sst xmlns="http://schemas.openxmlformats.org/spreadsheetml/2006/main" count="150" uniqueCount="66">
  <si>
    <t>F-ORION Tecnologia de Aplicação</t>
  </si>
  <si>
    <t>Prestação de Serviços - Santa Vergínia Agropecuária e Florestal LTDA</t>
  </si>
  <si>
    <t xml:space="preserve">Operação Realizada </t>
  </si>
  <si>
    <t>Produto</t>
  </si>
  <si>
    <t>Recomendação</t>
  </si>
  <si>
    <t>Volume de Calda</t>
  </si>
  <si>
    <t>Horto</t>
  </si>
  <si>
    <t>Talhão</t>
  </si>
  <si>
    <t>há total</t>
  </si>
  <si>
    <t>há aplicado</t>
  </si>
  <si>
    <t>Data Início</t>
  </si>
  <si>
    <t>Tarifa (R$/há)</t>
  </si>
  <si>
    <t>Valor Total</t>
  </si>
  <si>
    <t>Insumos</t>
  </si>
  <si>
    <t xml:space="preserve">Qtde </t>
  </si>
  <si>
    <t>Recomendação2</t>
  </si>
  <si>
    <t>Observação</t>
  </si>
  <si>
    <t>Córrego do Campo</t>
  </si>
  <si>
    <t>Desseca</t>
  </si>
  <si>
    <t>Eucalipto</t>
  </si>
  <si>
    <t>Abastecimento</t>
  </si>
  <si>
    <t>Controle de formiga</t>
  </si>
  <si>
    <t>315 AB</t>
  </si>
  <si>
    <t>317 AB</t>
  </si>
  <si>
    <t>84C</t>
  </si>
  <si>
    <t>Barra do Cervo 2</t>
  </si>
  <si>
    <t>Pré emergente</t>
  </si>
  <si>
    <t>Poço Azul</t>
  </si>
  <si>
    <t>75 e 84</t>
  </si>
  <si>
    <t>Período: Abril / 2026</t>
  </si>
  <si>
    <t>471/473/481</t>
  </si>
  <si>
    <t>Sede</t>
  </si>
  <si>
    <t>143/147/151</t>
  </si>
  <si>
    <t xml:space="preserve">15 kg/há </t>
  </si>
  <si>
    <t>0,18 kg/há</t>
  </si>
  <si>
    <t xml:space="preserve">15 litros/há </t>
  </si>
  <si>
    <t>Desseca (TESTE)</t>
  </si>
  <si>
    <t>4 litros/há</t>
  </si>
  <si>
    <t>3,0 + 1,0</t>
  </si>
  <si>
    <t>ZapQI + Agefix</t>
  </si>
  <si>
    <t>15 litros/há</t>
  </si>
  <si>
    <t>15 kg/há</t>
  </si>
  <si>
    <t>622/624</t>
  </si>
  <si>
    <t>238 /240</t>
  </si>
  <si>
    <t>Barra do Cervo 1</t>
  </si>
  <si>
    <t>15 kh/há</t>
  </si>
  <si>
    <t>Atta-mex</t>
  </si>
  <si>
    <t>Fordor</t>
  </si>
  <si>
    <t>Crucial</t>
  </si>
  <si>
    <t>3,0 litros/há</t>
  </si>
  <si>
    <t>2,5 litros/há</t>
  </si>
  <si>
    <t>20 litros/há</t>
  </si>
  <si>
    <t>Adubação Foliar</t>
  </si>
  <si>
    <t>Barra do Cervo</t>
  </si>
  <si>
    <t>RIP</t>
  </si>
  <si>
    <t>82 AB</t>
  </si>
  <si>
    <t>P9 ao P16</t>
  </si>
  <si>
    <t>334/335/338</t>
  </si>
  <si>
    <t>141/143/144/147</t>
  </si>
  <si>
    <t>270 ao 318 B</t>
  </si>
  <si>
    <t>Deslocamento</t>
  </si>
  <si>
    <t>Fazenda</t>
  </si>
  <si>
    <t xml:space="preserve">10 litros/há </t>
  </si>
  <si>
    <t xml:space="preserve">10 litros / há </t>
  </si>
  <si>
    <t xml:space="preserve">9 + 1 litros/há </t>
  </si>
  <si>
    <t>BVI  + Forest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</si>
</sst>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002060"/>
      <name val="Calibri"/>
      <family val="2"/>
    </font>
    <font>
      <sz val="11"/>
      <name val="Calibri"/>
      <family val="2"/>
    </font>
    <font>
      <sz val="11"/>
      <name val="Calibri"/>
    </font>
    <font>
      <b/>
      <i/>
      <sz val="11"/>
      <color rgb="FFC00000"/>
      <name val="Calibri"/>
      <family val="2"/>
    </font>
    <font>
      <i/>
      <sz val="11"/>
      <color theme="0"/>
      <name val="Calibri"/>
      <family val="2"/>
    </font>
    <font>
      <i/>
      <sz val="11"/>
      <name val="Calibri"/>
      <family val="2"/>
    </font>
    <font>
      <i/>
      <sz val="9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23355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0" fontId="4" fillId="0" borderId="0" xfId="0" applyFont="1" applyAlignment="1">
      <alignment vertical="center"/>
    </xf>
    <xf numFmtId="16" fontId="4" fillId="0" borderId="0" xfId="0" applyNumberFormat="1" applyFont="1" applyAlignment="1">
      <alignment vertical="center"/>
    </xf>
    <xf numFmtId="44" fontId="5" fillId="0" borderId="0" xfId="0" applyNumberFormat="1" applyFont="1" applyAlignment="1">
      <alignment vertical="center"/>
    </xf>
    <xf numFmtId="20" fontId="6" fillId="0" borderId="0" xfId="0" applyNumberFormat="1" applyFont="1" applyAlignment="1">
      <alignment vertical="center"/>
    </xf>
    <xf numFmtId="20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0" xfId="0" applyFont="1"/>
    <xf numFmtId="1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44" fontId="11" fillId="5" borderId="1" xfId="1" applyFont="1" applyFill="1" applyBorder="1" applyAlignment="1">
      <alignment horizontal="center"/>
    </xf>
    <xf numFmtId="20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" fontId="12" fillId="0" borderId="4" xfId="0" applyNumberFormat="1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1" fontId="11" fillId="6" borderId="1" xfId="0" applyNumberFormat="1" applyFont="1" applyFill="1" applyBorder="1" applyAlignment="1">
      <alignment horizontal="center" vertical="center"/>
    </xf>
    <xf numFmtId="1" fontId="11" fillId="6" borderId="6" xfId="0" applyNumberFormat="1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2" fontId="11" fillId="6" borderId="6" xfId="0" applyNumberFormat="1" applyFont="1" applyFill="1" applyBorder="1" applyAlignment="1">
      <alignment horizontal="center" vertical="center"/>
    </xf>
    <xf numFmtId="14" fontId="11" fillId="6" borderId="6" xfId="0" applyNumberFormat="1" applyFont="1" applyFill="1" applyBorder="1" applyAlignment="1">
      <alignment horizontal="center" vertical="center"/>
    </xf>
    <xf numFmtId="164" fontId="11" fillId="6" borderId="6" xfId="0" applyNumberFormat="1" applyFont="1" applyFill="1" applyBorder="1" applyAlignment="1">
      <alignment horizontal="center" vertical="center"/>
    </xf>
    <xf numFmtId="1" fontId="11" fillId="5" borderId="6" xfId="0" applyNumberFormat="1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 vertical="center"/>
    </xf>
    <xf numFmtId="14" fontId="11" fillId="5" borderId="6" xfId="0" applyNumberFormat="1" applyFont="1" applyFill="1" applyBorder="1" applyAlignment="1">
      <alignment horizontal="center" vertical="center"/>
    </xf>
    <xf numFmtId="164" fontId="11" fillId="5" borderId="6" xfId="0" applyNumberFormat="1" applyFont="1" applyFill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15" fillId="2" borderId="6" xfId="0" applyNumberFormat="1" applyFont="1" applyFill="1" applyBorder="1" applyAlignment="1">
      <alignment horizontal="center" vertical="center"/>
    </xf>
    <xf numFmtId="0" fontId="0" fillId="2" borderId="0" xfId="0" applyFill="1"/>
    <xf numFmtId="0" fontId="15" fillId="2" borderId="6" xfId="0" applyFont="1" applyFill="1" applyBorder="1" applyAlignment="1">
      <alignment horizontal="center" vertical="center"/>
    </xf>
    <xf numFmtId="14" fontId="15" fillId="2" borderId="6" xfId="0" applyNumberFormat="1" applyFont="1" applyFill="1" applyBorder="1" applyAlignment="1">
      <alignment horizontal="center" vertical="center"/>
    </xf>
    <xf numFmtId="44" fontId="15" fillId="2" borderId="6" xfId="0" applyNumberFormat="1" applyFont="1" applyFill="1" applyBorder="1" applyAlignment="1">
      <alignment horizontal="center"/>
    </xf>
    <xf numFmtId="16" fontId="0" fillId="0" borderId="0" xfId="0" applyNumberFormat="1"/>
    <xf numFmtId="2" fontId="11" fillId="6" borderId="1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44" fontId="11" fillId="6" borderId="1" xfId="1" applyFont="1" applyFill="1" applyBorder="1" applyAlignment="1">
      <alignment horizontal="center"/>
    </xf>
    <xf numFmtId="44" fontId="16" fillId="5" borderId="1" xfId="1" applyFont="1" applyFill="1" applyBorder="1" applyAlignment="1">
      <alignment horizontal="center"/>
    </xf>
    <xf numFmtId="1" fontId="16" fillId="5" borderId="1" xfId="0" applyNumberFormat="1" applyFont="1" applyFill="1" applyBorder="1" applyAlignment="1">
      <alignment horizontal="center" vertical="center"/>
    </xf>
    <xf numFmtId="1" fontId="16" fillId="5" borderId="6" xfId="0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2" fontId="16" fillId="5" borderId="6" xfId="0" applyNumberFormat="1" applyFont="1" applyFill="1" applyBorder="1" applyAlignment="1">
      <alignment horizontal="center" vertical="center"/>
    </xf>
    <xf numFmtId="14" fontId="16" fillId="5" borderId="6" xfId="0" applyNumberFormat="1" applyFont="1" applyFill="1" applyBorder="1" applyAlignment="1">
      <alignment horizontal="center" vertical="center"/>
    </xf>
    <xf numFmtId="164" fontId="16" fillId="5" borderId="6" xfId="0" applyNumberFormat="1" applyFont="1" applyFill="1" applyBorder="1" applyAlignment="1">
      <alignment horizontal="center" vertical="center"/>
    </xf>
    <xf numFmtId="1" fontId="16" fillId="6" borderId="1" xfId="0" applyNumberFormat="1" applyFont="1" applyFill="1" applyBorder="1" applyAlignment="1">
      <alignment horizontal="center" vertical="center"/>
    </xf>
    <xf numFmtId="1" fontId="16" fillId="6" borderId="6" xfId="0" applyNumberFormat="1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2" fontId="16" fillId="6" borderId="6" xfId="0" applyNumberFormat="1" applyFont="1" applyFill="1" applyBorder="1" applyAlignment="1">
      <alignment horizontal="center" vertical="center"/>
    </xf>
    <xf numFmtId="14" fontId="16" fillId="6" borderId="6" xfId="0" applyNumberFormat="1" applyFont="1" applyFill="1" applyBorder="1" applyAlignment="1">
      <alignment horizontal="center" vertical="center"/>
    </xf>
    <xf numFmtId="164" fontId="16" fillId="6" borderId="6" xfId="0" applyNumberFormat="1" applyFont="1" applyFill="1" applyBorder="1" applyAlignment="1">
      <alignment horizontal="center" vertical="center"/>
    </xf>
    <xf numFmtId="44" fontId="16" fillId="6" borderId="1" xfId="1" applyFont="1" applyFill="1" applyBorder="1" applyAlignment="1">
      <alignment horizontal="center"/>
    </xf>
    <xf numFmtId="0" fontId="17" fillId="5" borderId="6" xfId="0" applyFont="1" applyFill="1" applyBorder="1" applyAlignment="1">
      <alignment horizontal="center" vertical="center"/>
    </xf>
    <xf numFmtId="17" fontId="16" fillId="5" borderId="6" xfId="0" applyNumberFormat="1" applyFont="1" applyFill="1" applyBorder="1" applyAlignment="1">
      <alignment horizontal="center" vertical="center"/>
    </xf>
    <xf numFmtId="1" fontId="14" fillId="6" borderId="6" xfId="0" applyNumberFormat="1" applyFont="1" applyFill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2" fontId="14" fillId="6" borderId="6" xfId="0" applyNumberFormat="1" applyFont="1" applyFill="1" applyBorder="1" applyAlignment="1">
      <alignment horizontal="center" vertical="center"/>
    </xf>
    <xf numFmtId="14" fontId="14" fillId="6" borderId="6" xfId="0" applyNumberFormat="1" applyFont="1" applyFill="1" applyBorder="1" applyAlignment="1">
      <alignment horizontal="center" vertical="center"/>
    </xf>
    <xf numFmtId="164" fontId="14" fillId="6" borderId="6" xfId="0" applyNumberFormat="1" applyFont="1" applyFill="1" applyBorder="1" applyAlignment="1">
      <alignment horizontal="center" vertical="center"/>
    </xf>
    <xf numFmtId="164" fontId="14" fillId="6" borderId="1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00206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9" formatCode="dd/mm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" formatCode="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medium">
          <color auto="1"/>
        </left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0</xdr:row>
      <xdr:rowOff>99060</xdr:rowOff>
    </xdr:from>
    <xdr:to>
      <xdr:col>1</xdr:col>
      <xdr:colOff>1599718</xdr:colOff>
      <xdr:row>4</xdr:row>
      <xdr:rowOff>7620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4645FE-8116-4CA8-8371-85D88E8DA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" y="99060"/>
          <a:ext cx="1508278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44C6D-CBB8-4D58-B358-9757F1C5F351}" name="TAB_APONT" displayName="TAB_APONT" ref="B6:P32" totalsRowCount="1" headerRowDxfId="25" dataDxfId="24" tableBorderDxfId="23">
  <autoFilter ref="B6:P31" xr:uid="{36C44C6D-CBB8-4D58-B358-9757F1C5F351}"/>
  <tableColumns count="15">
    <tableColumn id="2" xr3:uid="{6AE7778E-A7E8-4C09-9B3D-E916664DFA52}" name="Operação Realizada " totalsRowDxfId="14"/>
    <tableColumn id="6" xr3:uid="{317E3394-DAFD-4E92-B1A5-71BC34723D85}" name="Produto" dataDxfId="22" totalsRowDxfId="13"/>
    <tableColumn id="10" xr3:uid="{F8B618BD-CB75-4A66-921D-82C559A353A0}" name="Recomendação" dataDxfId="21" totalsRowDxfId="12"/>
    <tableColumn id="11" xr3:uid="{75F7EDCF-9A31-48AB-AB4F-F1272002AB41}" name="Volume de Calda" dataDxfId="20" totalsRowDxfId="11"/>
    <tableColumn id="3" xr3:uid="{8012E5DB-3C71-44EF-A3B3-59F1E94ADE85}" name="Horto" totalsRowDxfId="10"/>
    <tableColumn id="5" xr3:uid="{9D652A6B-7FA6-4548-AD34-7C8D6E54E28A}" name="Talhão" totalsRowDxfId="9"/>
    <tableColumn id="7" xr3:uid="{D18FC367-7394-4A37-A66E-0818D7D0DD43}" name="há total" totalsRowDxfId="8"/>
    <tableColumn id="4" xr3:uid="{5F885EFF-DD56-4C52-A752-8BA9AC5969F5}" name="há aplicado" totalsRowFunction="sum" totalsRowDxfId="7"/>
    <tableColumn id="9" xr3:uid="{9C376126-CDB7-497C-95F6-194D7AE670FC}" name="Data Início" totalsRowDxfId="6"/>
    <tableColumn id="15" xr3:uid="{00FA35FF-CB80-4FCA-B07F-2B95B54BCCCD}" name="Tarifa (R$/há)" totalsRowDxfId="5"/>
    <tableColumn id="8" xr3:uid="{EF9E1D13-8E84-43F1-891C-B72E7A165377}" name="Valor Total" totalsRowFunction="sum" dataDxfId="19" totalsRowDxfId="4">
      <calculatedColumnFormula>TAB_APONT[[#This Row],[Tarifa (R$/há)]]*TAB_APONT[[#This Row],[há aplicado]]</calculatedColumnFormula>
    </tableColumn>
    <tableColumn id="13" xr3:uid="{AB76A18C-F3F0-445B-B2F4-639D9F0DFFAC}" name="Insumos" dataDxfId="18" totalsRowDxfId="3"/>
    <tableColumn id="14" xr3:uid="{01C58277-7059-4E3A-A474-5F507CC38521}" name="Qtde " dataDxfId="17" totalsRowDxfId="2"/>
    <tableColumn id="18" xr3:uid="{EFFEAEFC-2D53-4C37-94E8-DC1E0D8A7D66}" name="Recomendação2" dataDxfId="16" totalsRowDxfId="1"/>
    <tableColumn id="19" xr3:uid="{1E83A0A5-D213-4E18-9009-98C101848E4C}" name="Observação" dataDxfId="15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9"/>
  <sheetViews>
    <sheetView showGridLines="0" tabSelected="1" workbookViewId="0">
      <selection activeCell="J36" sqref="J36"/>
    </sheetView>
  </sheetViews>
  <sheetFormatPr defaultColWidth="24.109375" defaultRowHeight="14.4" x14ac:dyDescent="0.3"/>
  <cols>
    <col min="1" max="1" width="5.77734375" customWidth="1"/>
    <col min="2" max="2" width="25.88671875" customWidth="1"/>
    <col min="3" max="3" width="18.6640625" customWidth="1"/>
    <col min="4" max="5" width="18.77734375" customWidth="1"/>
    <col min="6" max="6" width="18.77734375" style="2" customWidth="1"/>
    <col min="7" max="7" width="13.77734375" customWidth="1"/>
    <col min="8" max="9" width="14.77734375" customWidth="1"/>
    <col min="10" max="10" width="14.77734375" style="3" customWidth="1"/>
    <col min="11" max="11" width="16.77734375" style="4" customWidth="1"/>
    <col min="12" max="12" width="16.88671875" style="5" customWidth="1"/>
    <col min="13" max="13" width="60.88671875" hidden="1" customWidth="1"/>
    <col min="14" max="14" width="48.44140625" hidden="1" customWidth="1"/>
    <col min="15" max="16" width="0" hidden="1" customWidth="1"/>
  </cols>
  <sheetData>
    <row r="2" spans="2:16" ht="15.6" x14ac:dyDescent="0.3">
      <c r="C2" s="1" t="s">
        <v>0</v>
      </c>
      <c r="D2" s="1"/>
      <c r="E2" s="1"/>
    </row>
    <row r="3" spans="2:16" ht="22.8" x14ac:dyDescent="0.3">
      <c r="C3" s="1" t="s">
        <v>1</v>
      </c>
      <c r="D3" s="1"/>
      <c r="E3" s="1"/>
      <c r="F3" s="6"/>
      <c r="G3" s="6"/>
      <c r="H3" s="6"/>
      <c r="I3" s="6"/>
      <c r="J3" s="6"/>
      <c r="K3" s="7"/>
      <c r="L3" s="8"/>
    </row>
    <row r="4" spans="2:16" ht="22.8" x14ac:dyDescent="0.3">
      <c r="C4" s="9" t="s">
        <v>29</v>
      </c>
      <c r="D4" s="9"/>
      <c r="E4" s="9"/>
      <c r="F4" s="6"/>
      <c r="G4" s="6"/>
      <c r="H4" s="6"/>
      <c r="I4" s="6"/>
      <c r="J4" s="6"/>
      <c r="K4" s="7"/>
      <c r="L4" s="8"/>
    </row>
    <row r="5" spans="2:16" ht="17.399999999999999" x14ac:dyDescent="0.3">
      <c r="F5" s="10"/>
      <c r="G5" s="11"/>
      <c r="H5" s="12"/>
      <c r="I5" s="12"/>
      <c r="J5" s="13"/>
      <c r="K5" s="14"/>
      <c r="L5" s="15"/>
    </row>
    <row r="6" spans="2:16" s="26" customFormat="1" x14ac:dyDescent="0.3">
      <c r="B6" s="16" t="s">
        <v>2</v>
      </c>
      <c r="C6" s="16" t="s">
        <v>3</v>
      </c>
      <c r="D6" s="16" t="s">
        <v>4</v>
      </c>
      <c r="E6" s="16" t="s">
        <v>5</v>
      </c>
      <c r="F6" s="17" t="s">
        <v>6</v>
      </c>
      <c r="G6" s="17" t="s">
        <v>7</v>
      </c>
      <c r="H6" s="17" t="s">
        <v>8</v>
      </c>
      <c r="I6" s="18" t="s">
        <v>9</v>
      </c>
      <c r="J6" s="19" t="s">
        <v>10</v>
      </c>
      <c r="K6" s="20" t="s">
        <v>11</v>
      </c>
      <c r="L6" s="21" t="s">
        <v>12</v>
      </c>
      <c r="M6" s="22" t="s">
        <v>13</v>
      </c>
      <c r="N6" s="23" t="s">
        <v>14</v>
      </c>
      <c r="O6" s="24" t="s">
        <v>15</v>
      </c>
      <c r="P6" s="25" t="s">
        <v>16</v>
      </c>
    </row>
    <row r="7" spans="2:16" x14ac:dyDescent="0.3">
      <c r="B7" s="39" t="s">
        <v>18</v>
      </c>
      <c r="C7" s="39" t="s">
        <v>48</v>
      </c>
      <c r="D7" s="39" t="s">
        <v>50</v>
      </c>
      <c r="E7" s="39" t="s">
        <v>51</v>
      </c>
      <c r="F7" s="39" t="s">
        <v>19</v>
      </c>
      <c r="G7" s="36">
        <v>344</v>
      </c>
      <c r="H7" s="36">
        <v>51.95</v>
      </c>
      <c r="I7" s="57">
        <v>23.1</v>
      </c>
      <c r="J7" s="58">
        <v>46118</v>
      </c>
      <c r="K7" s="59">
        <v>0</v>
      </c>
      <c r="L7" s="60">
        <f>TAB_APONT[[#This Row],[Tarifa (R$/há)]]*TAB_APONT[[#This Row],[há aplicado]]</f>
        <v>0</v>
      </c>
      <c r="M7" s="33"/>
      <c r="N7" s="34"/>
      <c r="O7" s="35"/>
      <c r="P7" s="35"/>
    </row>
    <row r="8" spans="2:16" x14ac:dyDescent="0.3">
      <c r="B8" s="27" t="s">
        <v>18</v>
      </c>
      <c r="C8" s="27" t="s">
        <v>48</v>
      </c>
      <c r="D8" s="27" t="s">
        <v>49</v>
      </c>
      <c r="E8" s="27" t="s">
        <v>51</v>
      </c>
      <c r="F8" s="27" t="s">
        <v>17</v>
      </c>
      <c r="G8" s="28">
        <v>551</v>
      </c>
      <c r="H8" s="28">
        <v>40.21</v>
      </c>
      <c r="I8" s="29">
        <v>9.1999999999999993</v>
      </c>
      <c r="J8" s="30">
        <v>46121</v>
      </c>
      <c r="K8" s="31">
        <v>75</v>
      </c>
      <c r="L8" s="32">
        <f>TAB_APONT[[#This Row],[Tarifa (R$/há)]]*TAB_APONT[[#This Row],[há aplicado]]</f>
        <v>690</v>
      </c>
      <c r="M8" s="37"/>
      <c r="N8" s="38"/>
      <c r="O8" s="38"/>
      <c r="P8" s="38"/>
    </row>
    <row r="9" spans="2:16" x14ac:dyDescent="0.3">
      <c r="B9" s="39" t="s">
        <v>18</v>
      </c>
      <c r="C9" s="39" t="s">
        <v>48</v>
      </c>
      <c r="D9" s="39" t="s">
        <v>49</v>
      </c>
      <c r="E9" s="39" t="s">
        <v>51</v>
      </c>
      <c r="F9" s="39" t="s">
        <v>17</v>
      </c>
      <c r="G9" s="36">
        <v>549</v>
      </c>
      <c r="H9" s="36">
        <v>40.29</v>
      </c>
      <c r="I9" s="57">
        <v>10.8</v>
      </c>
      <c r="J9" s="58">
        <v>46121</v>
      </c>
      <c r="K9" s="59">
        <v>75</v>
      </c>
      <c r="L9" s="60">
        <f>TAB_APONT[[#This Row],[Tarifa (R$/há)]]*TAB_APONT[[#This Row],[há aplicado]]</f>
        <v>810</v>
      </c>
      <c r="M9" s="33"/>
      <c r="N9" s="34"/>
      <c r="O9" s="35"/>
      <c r="P9" s="35"/>
    </row>
    <row r="10" spans="2:16" x14ac:dyDescent="0.3">
      <c r="B10" s="27" t="s">
        <v>21</v>
      </c>
      <c r="C10" s="27" t="s">
        <v>46</v>
      </c>
      <c r="D10" s="27" t="s">
        <v>33</v>
      </c>
      <c r="E10" s="27" t="s">
        <v>33</v>
      </c>
      <c r="F10" s="27" t="s">
        <v>17</v>
      </c>
      <c r="G10" s="28" t="s">
        <v>22</v>
      </c>
      <c r="H10" s="28">
        <v>73.069999999999993</v>
      </c>
      <c r="I10" s="29">
        <v>21.92</v>
      </c>
      <c r="J10" s="30">
        <v>46123</v>
      </c>
      <c r="K10" s="31">
        <v>75</v>
      </c>
      <c r="L10" s="32">
        <f>TAB_APONT[[#This Row],[Tarifa (R$/há)]]*TAB_APONT[[#This Row],[há aplicado]]</f>
        <v>1644.0000000000002</v>
      </c>
      <c r="M10" s="35"/>
      <c r="N10" s="35"/>
      <c r="O10" s="35"/>
      <c r="P10" s="35"/>
    </row>
    <row r="11" spans="2:16" x14ac:dyDescent="0.3">
      <c r="B11" s="39" t="s">
        <v>21</v>
      </c>
      <c r="C11" s="39" t="s">
        <v>46</v>
      </c>
      <c r="D11" s="39" t="s">
        <v>33</v>
      </c>
      <c r="E11" s="39" t="s">
        <v>33</v>
      </c>
      <c r="F11" s="39" t="s">
        <v>17</v>
      </c>
      <c r="G11" s="36" t="s">
        <v>23</v>
      </c>
      <c r="H11" s="36">
        <v>84.36</v>
      </c>
      <c r="I11" s="57">
        <v>25.31</v>
      </c>
      <c r="J11" s="58">
        <v>46123</v>
      </c>
      <c r="K11" s="59">
        <v>75</v>
      </c>
      <c r="L11" s="60">
        <f>TAB_APONT[[#This Row],[Tarifa (R$/há)]]*TAB_APONT[[#This Row],[há aplicado]]</f>
        <v>1898.25</v>
      </c>
      <c r="M11" s="35"/>
      <c r="N11" s="35"/>
      <c r="O11" s="35"/>
      <c r="P11" s="35"/>
    </row>
    <row r="12" spans="2:16" x14ac:dyDescent="0.3">
      <c r="B12" s="27" t="s">
        <v>21</v>
      </c>
      <c r="C12" s="27" t="s">
        <v>46</v>
      </c>
      <c r="D12" s="27" t="s">
        <v>33</v>
      </c>
      <c r="E12" s="27" t="s">
        <v>33</v>
      </c>
      <c r="F12" s="27" t="s">
        <v>17</v>
      </c>
      <c r="G12" s="28">
        <v>335</v>
      </c>
      <c r="H12" s="28">
        <v>44.61</v>
      </c>
      <c r="I12" s="29">
        <v>44.61</v>
      </c>
      <c r="J12" s="30">
        <v>46123</v>
      </c>
      <c r="K12" s="31">
        <v>75</v>
      </c>
      <c r="L12" s="32">
        <f>TAB_APONT[[#This Row],[Tarifa (R$/há)]]*TAB_APONT[[#This Row],[há aplicado]]</f>
        <v>3345.75</v>
      </c>
      <c r="M12" s="35"/>
      <c r="N12" s="35"/>
      <c r="O12" s="35"/>
      <c r="P12" s="35"/>
    </row>
    <row r="13" spans="2:16" x14ac:dyDescent="0.3">
      <c r="B13" s="39" t="s">
        <v>21</v>
      </c>
      <c r="C13" s="39" t="s">
        <v>46</v>
      </c>
      <c r="D13" s="39" t="s">
        <v>33</v>
      </c>
      <c r="E13" s="39" t="s">
        <v>33</v>
      </c>
      <c r="F13" s="39" t="s">
        <v>17</v>
      </c>
      <c r="G13" s="36">
        <v>337</v>
      </c>
      <c r="H13" s="36">
        <v>41.49</v>
      </c>
      <c r="I13" s="57">
        <v>41.49</v>
      </c>
      <c r="J13" s="58">
        <v>46123</v>
      </c>
      <c r="K13" s="59">
        <v>75</v>
      </c>
      <c r="L13" s="60">
        <f>TAB_APONT[[#This Row],[Tarifa (R$/há)]]*TAB_APONT[[#This Row],[há aplicado]]</f>
        <v>3111.75</v>
      </c>
      <c r="M13" s="35"/>
      <c r="N13" s="35"/>
      <c r="O13" s="35"/>
      <c r="P13" s="35"/>
    </row>
    <row r="14" spans="2:16" x14ac:dyDescent="0.3">
      <c r="B14" s="27" t="s">
        <v>21</v>
      </c>
      <c r="C14" s="27" t="s">
        <v>46</v>
      </c>
      <c r="D14" s="27" t="s">
        <v>33</v>
      </c>
      <c r="E14" s="27" t="s">
        <v>33</v>
      </c>
      <c r="F14" s="27" t="s">
        <v>25</v>
      </c>
      <c r="G14" s="28">
        <v>85</v>
      </c>
      <c r="H14" s="28">
        <v>36.340000000000003</v>
      </c>
      <c r="I14" s="29">
        <v>36.340000000000003</v>
      </c>
      <c r="J14" s="30">
        <v>46123</v>
      </c>
      <c r="K14" s="31">
        <v>75</v>
      </c>
      <c r="L14" s="32">
        <f>TAB_APONT[[#This Row],[Tarifa (R$/há)]]*TAB_APONT[[#This Row],[há aplicado]]</f>
        <v>2725.5000000000005</v>
      </c>
      <c r="M14" s="35"/>
      <c r="N14" s="35"/>
      <c r="O14" s="35"/>
      <c r="P14" s="35"/>
    </row>
    <row r="15" spans="2:16" x14ac:dyDescent="0.3">
      <c r="B15" s="39" t="s">
        <v>21</v>
      </c>
      <c r="C15" s="39" t="s">
        <v>46</v>
      </c>
      <c r="D15" s="39" t="s">
        <v>33</v>
      </c>
      <c r="E15" s="39" t="s">
        <v>33</v>
      </c>
      <c r="F15" s="39" t="s">
        <v>25</v>
      </c>
      <c r="G15" s="36" t="s">
        <v>24</v>
      </c>
      <c r="H15" s="36">
        <v>34.06</v>
      </c>
      <c r="I15" s="57">
        <v>23</v>
      </c>
      <c r="J15" s="58">
        <v>46123</v>
      </c>
      <c r="K15" s="59">
        <v>75</v>
      </c>
      <c r="L15" s="60">
        <f>TAB_APONT[[#This Row],[Tarifa (R$/há)]]*TAB_APONT[[#This Row],[há aplicado]]</f>
        <v>1725</v>
      </c>
      <c r="M15" s="37"/>
      <c r="N15" s="38"/>
      <c r="O15" s="38"/>
      <c r="P15" s="38"/>
    </row>
    <row r="16" spans="2:16" x14ac:dyDescent="0.3">
      <c r="B16" s="27" t="s">
        <v>21</v>
      </c>
      <c r="C16" s="27" t="s">
        <v>46</v>
      </c>
      <c r="D16" s="27" t="s">
        <v>33</v>
      </c>
      <c r="E16" s="27" t="s">
        <v>33</v>
      </c>
      <c r="F16" s="27" t="s">
        <v>19</v>
      </c>
      <c r="G16" s="28" t="s">
        <v>43</v>
      </c>
      <c r="H16" s="28">
        <v>153.74</v>
      </c>
      <c r="I16" s="29">
        <v>20</v>
      </c>
      <c r="J16" s="30">
        <v>46124</v>
      </c>
      <c r="K16" s="31">
        <v>75</v>
      </c>
      <c r="L16" s="32">
        <f>TAB_APONT[[#This Row],[Tarifa (R$/há)]]*TAB_APONT[[#This Row],[há aplicado]]</f>
        <v>1500</v>
      </c>
      <c r="M16" s="37"/>
      <c r="N16" s="38"/>
      <c r="O16" s="38"/>
      <c r="P16" s="38"/>
    </row>
    <row r="17" spans="2:16" x14ac:dyDescent="0.3">
      <c r="B17" s="39" t="s">
        <v>26</v>
      </c>
      <c r="C17" s="39" t="s">
        <v>47</v>
      </c>
      <c r="D17" s="39" t="s">
        <v>34</v>
      </c>
      <c r="E17" s="39" t="s">
        <v>35</v>
      </c>
      <c r="F17" s="40" t="s">
        <v>27</v>
      </c>
      <c r="G17" s="41">
        <v>81</v>
      </c>
      <c r="H17" s="41">
        <v>26.63</v>
      </c>
      <c r="I17" s="42">
        <v>7.3</v>
      </c>
      <c r="J17" s="43">
        <v>46125</v>
      </c>
      <c r="K17" s="44">
        <v>75</v>
      </c>
      <c r="L17" s="60">
        <f>TAB_APONT[[#This Row],[Tarifa (R$/há)]]*TAB_APONT[[#This Row],[há aplicado]]</f>
        <v>547.5</v>
      </c>
      <c r="M17" s="37"/>
      <c r="N17" s="38"/>
      <c r="O17" s="38"/>
      <c r="P17" s="38"/>
    </row>
    <row r="18" spans="2:16" x14ac:dyDescent="0.3">
      <c r="B18" s="27" t="s">
        <v>26</v>
      </c>
      <c r="C18" s="27" t="s">
        <v>47</v>
      </c>
      <c r="D18" s="27" t="s">
        <v>34</v>
      </c>
      <c r="E18" s="27" t="s">
        <v>40</v>
      </c>
      <c r="F18" s="45" t="s">
        <v>27</v>
      </c>
      <c r="G18" s="46" t="s">
        <v>28</v>
      </c>
      <c r="H18" s="46">
        <v>82.41</v>
      </c>
      <c r="I18" s="47">
        <v>33.799999999999997</v>
      </c>
      <c r="J18" s="48">
        <v>46126</v>
      </c>
      <c r="K18" s="49">
        <v>75</v>
      </c>
      <c r="L18" s="32">
        <f>TAB_APONT[[#This Row],[Tarifa (R$/há)]]*TAB_APONT[[#This Row],[há aplicado]]</f>
        <v>2535</v>
      </c>
      <c r="M18" s="37"/>
      <c r="N18" s="38"/>
      <c r="O18" s="38"/>
      <c r="P18" s="38"/>
    </row>
    <row r="19" spans="2:16" x14ac:dyDescent="0.3">
      <c r="B19" s="39" t="s">
        <v>21</v>
      </c>
      <c r="C19" s="39" t="s">
        <v>46</v>
      </c>
      <c r="D19" s="39" t="s">
        <v>33</v>
      </c>
      <c r="E19" s="39" t="s">
        <v>33</v>
      </c>
      <c r="F19" s="40" t="s">
        <v>27</v>
      </c>
      <c r="G19" s="41" t="s">
        <v>30</v>
      </c>
      <c r="H19" s="41">
        <v>95.98</v>
      </c>
      <c r="I19" s="42">
        <v>26.2</v>
      </c>
      <c r="J19" s="43">
        <v>46126</v>
      </c>
      <c r="K19" s="44">
        <v>75</v>
      </c>
      <c r="L19" s="60">
        <f>TAB_APONT[[#This Row],[Tarifa (R$/há)]]*TAB_APONT[[#This Row],[há aplicado]]</f>
        <v>1965</v>
      </c>
      <c r="M19" s="37"/>
      <c r="N19" s="38"/>
      <c r="O19" s="38"/>
      <c r="P19" s="38"/>
    </row>
    <row r="20" spans="2:16" x14ac:dyDescent="0.3">
      <c r="B20" s="27" t="s">
        <v>21</v>
      </c>
      <c r="C20" s="27" t="s">
        <v>46</v>
      </c>
      <c r="D20" s="27" t="s">
        <v>41</v>
      </c>
      <c r="E20" s="27" t="s">
        <v>33</v>
      </c>
      <c r="F20" s="45" t="s">
        <v>31</v>
      </c>
      <c r="G20" s="46" t="s">
        <v>32</v>
      </c>
      <c r="H20" s="46">
        <v>129.04</v>
      </c>
      <c r="I20" s="47">
        <v>37.5</v>
      </c>
      <c r="J20" s="48">
        <v>46128</v>
      </c>
      <c r="K20" s="49">
        <v>75</v>
      </c>
      <c r="L20" s="32">
        <f>TAB_APONT[[#This Row],[Tarifa (R$/há)]]*TAB_APONT[[#This Row],[há aplicado]]</f>
        <v>2812.5</v>
      </c>
      <c r="M20" s="37"/>
      <c r="N20" s="38"/>
      <c r="O20" s="38"/>
      <c r="P20" s="38"/>
    </row>
    <row r="21" spans="2:16" x14ac:dyDescent="0.3">
      <c r="B21" s="39" t="s">
        <v>26</v>
      </c>
      <c r="C21" s="39" t="s">
        <v>47</v>
      </c>
      <c r="D21" s="39" t="s">
        <v>34</v>
      </c>
      <c r="E21" s="39" t="s">
        <v>35</v>
      </c>
      <c r="F21" s="40" t="s">
        <v>27</v>
      </c>
      <c r="G21" s="41">
        <v>50</v>
      </c>
      <c r="H21" s="41">
        <v>5.77</v>
      </c>
      <c r="I21" s="42">
        <v>53.5</v>
      </c>
      <c r="J21" s="43">
        <v>46129</v>
      </c>
      <c r="K21" s="44">
        <v>75</v>
      </c>
      <c r="L21" s="60">
        <f>TAB_APONT[[#This Row],[Tarifa (R$/há)]]*TAB_APONT[[#This Row],[há aplicado]]</f>
        <v>4012.5</v>
      </c>
      <c r="M21" s="37"/>
      <c r="N21" s="38"/>
      <c r="O21" s="38"/>
      <c r="P21" s="38"/>
    </row>
    <row r="22" spans="2:16" x14ac:dyDescent="0.3">
      <c r="B22" s="62" t="s">
        <v>36</v>
      </c>
      <c r="C22" s="62" t="s">
        <v>39</v>
      </c>
      <c r="D22" s="62" t="s">
        <v>38</v>
      </c>
      <c r="E22" s="62" t="s">
        <v>37</v>
      </c>
      <c r="F22" s="63" t="s">
        <v>17</v>
      </c>
      <c r="G22" s="64">
        <v>541</v>
      </c>
      <c r="H22" s="64">
        <v>36.68</v>
      </c>
      <c r="I22" s="65">
        <v>7.5</v>
      </c>
      <c r="J22" s="66">
        <v>46129</v>
      </c>
      <c r="K22" s="67">
        <v>75</v>
      </c>
      <c r="L22" s="61">
        <f>TAB_APONT[[#This Row],[Tarifa (R$/há)]]*TAB_APONT[[#This Row],[há aplicado]]</f>
        <v>562.5</v>
      </c>
      <c r="M22" s="37"/>
      <c r="N22" s="38"/>
      <c r="O22" s="38"/>
      <c r="P22" s="38"/>
    </row>
    <row r="23" spans="2:16" x14ac:dyDescent="0.3">
      <c r="B23" s="68" t="s">
        <v>21</v>
      </c>
      <c r="C23" s="68" t="s">
        <v>46</v>
      </c>
      <c r="D23" s="68" t="s">
        <v>45</v>
      </c>
      <c r="E23" s="39" t="s">
        <v>33</v>
      </c>
      <c r="F23" s="69" t="s">
        <v>44</v>
      </c>
      <c r="G23" s="70" t="s">
        <v>42</v>
      </c>
      <c r="H23" s="70">
        <v>121.42</v>
      </c>
      <c r="I23" s="71">
        <v>19.7</v>
      </c>
      <c r="J23" s="72">
        <v>46129</v>
      </c>
      <c r="K23" s="73">
        <v>75</v>
      </c>
      <c r="L23" s="74">
        <f>TAB_APONT[[#This Row],[Tarifa (R$/há)]]*TAB_APONT[[#This Row],[há aplicado]]</f>
        <v>1477.5</v>
      </c>
      <c r="M23" s="37"/>
      <c r="N23" s="38"/>
      <c r="O23" s="38"/>
      <c r="P23" s="38"/>
    </row>
    <row r="24" spans="2:16" x14ac:dyDescent="0.3">
      <c r="B24" s="62" t="s">
        <v>21</v>
      </c>
      <c r="C24" s="62" t="s">
        <v>46</v>
      </c>
      <c r="D24" s="62" t="s">
        <v>45</v>
      </c>
      <c r="E24" s="27" t="s">
        <v>33</v>
      </c>
      <c r="F24" s="63" t="s">
        <v>17</v>
      </c>
      <c r="G24" s="64">
        <v>288</v>
      </c>
      <c r="H24" s="64">
        <v>21.96</v>
      </c>
      <c r="I24" s="65">
        <v>13.4</v>
      </c>
      <c r="J24" s="66">
        <v>46130</v>
      </c>
      <c r="K24" s="67">
        <v>75</v>
      </c>
      <c r="L24" s="32">
        <f>TAB_APONT[[#This Row],[Tarifa (R$/há)]]*TAB_APONT[[#This Row],[há aplicado]]</f>
        <v>1005</v>
      </c>
      <c r="M24" s="37"/>
      <c r="N24" s="38"/>
      <c r="O24" s="38"/>
      <c r="P24" s="38"/>
    </row>
    <row r="25" spans="2:16" x14ac:dyDescent="0.3">
      <c r="B25" s="68" t="s">
        <v>52</v>
      </c>
      <c r="C25" s="39" t="s">
        <v>65</v>
      </c>
      <c r="D25" s="39" t="s">
        <v>64</v>
      </c>
      <c r="E25" s="39" t="s">
        <v>62</v>
      </c>
      <c r="F25" s="69" t="s">
        <v>53</v>
      </c>
      <c r="G25" s="70" t="s">
        <v>55</v>
      </c>
      <c r="H25" s="70">
        <v>134.19999999999999</v>
      </c>
      <c r="I25" s="71">
        <v>131.1</v>
      </c>
      <c r="J25" s="72">
        <v>46132</v>
      </c>
      <c r="K25" s="73">
        <v>75</v>
      </c>
      <c r="L25" s="60">
        <f>TAB_APONT[[#This Row],[Tarifa (R$/há)]]*TAB_APONT[[#This Row],[há aplicado]]</f>
        <v>9832.5</v>
      </c>
      <c r="M25" s="37"/>
      <c r="N25" s="38"/>
      <c r="O25" s="38"/>
      <c r="P25" s="38"/>
    </row>
    <row r="26" spans="2:16" x14ac:dyDescent="0.3">
      <c r="B26" s="62" t="s">
        <v>52</v>
      </c>
      <c r="C26" s="27" t="s">
        <v>65</v>
      </c>
      <c r="D26" s="27" t="s">
        <v>64</v>
      </c>
      <c r="E26" s="27" t="s">
        <v>63</v>
      </c>
      <c r="F26" s="63" t="s">
        <v>54</v>
      </c>
      <c r="G26" s="64" t="s">
        <v>56</v>
      </c>
      <c r="H26" s="64">
        <v>47.28</v>
      </c>
      <c r="I26" s="65">
        <v>30.2</v>
      </c>
      <c r="J26" s="66">
        <v>46134</v>
      </c>
      <c r="K26" s="67">
        <v>75</v>
      </c>
      <c r="L26" s="32">
        <f>TAB_APONT[[#This Row],[Tarifa (R$/há)]]*TAB_APONT[[#This Row],[há aplicado]]</f>
        <v>2265</v>
      </c>
      <c r="M26" s="37"/>
      <c r="N26" s="38"/>
      <c r="O26" s="38"/>
      <c r="P26" s="38"/>
    </row>
    <row r="27" spans="2:16" x14ac:dyDescent="0.3">
      <c r="B27" s="68" t="s">
        <v>52</v>
      </c>
      <c r="C27" s="39" t="s">
        <v>65</v>
      </c>
      <c r="D27" s="39" t="s">
        <v>64</v>
      </c>
      <c r="E27" s="39" t="s">
        <v>62</v>
      </c>
      <c r="F27" s="69" t="s">
        <v>17</v>
      </c>
      <c r="G27" s="70" t="s">
        <v>57</v>
      </c>
      <c r="H27" s="70">
        <v>122.8</v>
      </c>
      <c r="I27" s="71">
        <v>114.2</v>
      </c>
      <c r="J27" s="72">
        <v>46136</v>
      </c>
      <c r="K27" s="73">
        <v>75</v>
      </c>
      <c r="L27" s="60">
        <f>TAB_APONT[[#This Row],[Tarifa (R$/há)]]*TAB_APONT[[#This Row],[há aplicado]]</f>
        <v>8565</v>
      </c>
      <c r="M27" s="37"/>
      <c r="N27" s="38"/>
      <c r="O27" s="38"/>
      <c r="P27" s="38"/>
    </row>
    <row r="28" spans="2:16" x14ac:dyDescent="0.3">
      <c r="B28" s="62" t="s">
        <v>52</v>
      </c>
      <c r="C28" s="27" t="s">
        <v>65</v>
      </c>
      <c r="D28" s="27" t="s">
        <v>64</v>
      </c>
      <c r="E28" s="27" t="s">
        <v>63</v>
      </c>
      <c r="F28" s="63" t="s">
        <v>31</v>
      </c>
      <c r="G28" s="75" t="s">
        <v>58</v>
      </c>
      <c r="H28" s="64">
        <v>83.04</v>
      </c>
      <c r="I28" s="65">
        <v>56.1</v>
      </c>
      <c r="J28" s="66">
        <v>46135</v>
      </c>
      <c r="K28" s="67">
        <v>75</v>
      </c>
      <c r="L28" s="32">
        <f>TAB_APONT[[#This Row],[Tarifa (R$/há)]]*TAB_APONT[[#This Row],[há aplicado]]</f>
        <v>4207.5</v>
      </c>
      <c r="M28" s="37"/>
      <c r="N28" s="38"/>
      <c r="O28" s="38"/>
      <c r="P28" s="38"/>
    </row>
    <row r="29" spans="2:16" x14ac:dyDescent="0.3">
      <c r="B29" s="68" t="s">
        <v>52</v>
      </c>
      <c r="C29" s="39" t="s">
        <v>65</v>
      </c>
      <c r="D29" s="39" t="s">
        <v>64</v>
      </c>
      <c r="E29" s="39" t="s">
        <v>62</v>
      </c>
      <c r="F29" s="69" t="s">
        <v>17</v>
      </c>
      <c r="G29" s="70" t="s">
        <v>59</v>
      </c>
      <c r="H29" s="70">
        <v>282.98</v>
      </c>
      <c r="I29" s="71">
        <v>180.2</v>
      </c>
      <c r="J29" s="72">
        <v>46138</v>
      </c>
      <c r="K29" s="73">
        <v>75</v>
      </c>
      <c r="L29" s="60">
        <f>TAB_APONT[[#This Row],[Tarifa (R$/há)]]*TAB_APONT[[#This Row],[há aplicado]]</f>
        <v>13515</v>
      </c>
      <c r="M29" s="37"/>
      <c r="N29" s="38"/>
      <c r="O29" s="38"/>
      <c r="P29" s="38"/>
    </row>
    <row r="30" spans="2:16" x14ac:dyDescent="0.3">
      <c r="B30" s="62" t="s">
        <v>60</v>
      </c>
      <c r="C30" s="62"/>
      <c r="D30" s="62"/>
      <c r="E30" s="27" t="s">
        <v>63</v>
      </c>
      <c r="F30" s="63" t="s">
        <v>61</v>
      </c>
      <c r="G30" s="64"/>
      <c r="H30" s="64"/>
      <c r="I30" s="65"/>
      <c r="J30" s="76">
        <v>46113</v>
      </c>
      <c r="K30" s="67"/>
      <c r="L30" s="61">
        <v>2770</v>
      </c>
      <c r="M30" s="37"/>
      <c r="N30" s="38"/>
      <c r="O30" s="38"/>
      <c r="P30" s="38"/>
    </row>
    <row r="31" spans="2:16" x14ac:dyDescent="0.3">
      <c r="B31" s="77" t="s">
        <v>20</v>
      </c>
      <c r="C31" s="78"/>
      <c r="D31" s="78"/>
      <c r="E31" s="78"/>
      <c r="F31" s="77"/>
      <c r="G31" s="79"/>
      <c r="H31" s="79">
        <v>364.8</v>
      </c>
      <c r="I31" s="80"/>
      <c r="J31" s="81"/>
      <c r="K31" s="82">
        <v>5.55</v>
      </c>
      <c r="L31" s="83">
        <f>-TAB_APONT[[#This Row],[há total]]*TAB_APONT[[#This Row],[Tarifa (R$/há)]]</f>
        <v>-2024.64</v>
      </c>
      <c r="M31" s="50"/>
      <c r="N31" s="35"/>
      <c r="O31" s="35"/>
      <c r="P31" s="35"/>
    </row>
    <row r="32" spans="2:16" x14ac:dyDescent="0.3">
      <c r="B32" s="51"/>
      <c r="C32" s="51"/>
      <c r="D32" s="52"/>
      <c r="E32" s="52"/>
      <c r="F32" s="51"/>
      <c r="G32" s="53"/>
      <c r="H32" s="53"/>
      <c r="I32" s="53">
        <f>SUBTOTAL(109,TAB_APONT[há aplicado])</f>
        <v>966.47</v>
      </c>
      <c r="J32" s="54"/>
      <c r="K32" s="51"/>
      <c r="L32" s="55">
        <f>SUBTOTAL(109,TAB_APONT[Valor Total])</f>
        <v>71498.11</v>
      </c>
      <c r="M32" s="50"/>
      <c r="N32" s="35"/>
      <c r="O32" s="35"/>
      <c r="P32" s="35"/>
    </row>
    <row r="37" spans="9:9" x14ac:dyDescent="0.3">
      <c r="I37" s="56"/>
    </row>
    <row r="38" spans="9:9" x14ac:dyDescent="0.3">
      <c r="I38" s="56"/>
    </row>
    <row r="39" spans="9:9" x14ac:dyDescent="0.3">
      <c r="I39" s="56"/>
    </row>
  </sheetData>
  <phoneticPr fontId="18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Catuliode Oliveira</dc:creator>
  <cp:lastModifiedBy>Eduardo Catuliode Oliveira</cp:lastModifiedBy>
  <dcterms:created xsi:type="dcterms:W3CDTF">2015-06-05T18:17:20Z</dcterms:created>
  <dcterms:modified xsi:type="dcterms:W3CDTF">2026-05-04T17:41:19Z</dcterms:modified>
</cp:coreProperties>
</file>