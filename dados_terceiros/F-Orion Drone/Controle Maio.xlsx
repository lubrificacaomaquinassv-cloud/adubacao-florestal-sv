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V:\Usuários\Florestal 2026\TERCEIROS\F-Orion Drone\"/>
    </mc:Choice>
  </mc:AlternateContent>
  <xr:revisionPtr revIDLastSave="0" documentId="13_ncr:1_{DD803E19-0ACD-4BFB-B4C8-7F7376B1DD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L23" i="1" l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I24" i="1"/>
  <c r="L22" i="1"/>
  <c r="M22" i="1" l="1"/>
  <c r="N22" i="1" s="1"/>
  <c r="O22" i="1" s="1"/>
  <c r="P22" i="1" s="1"/>
  <c r="L24" i="1"/>
</calcChain>
</file>

<file path=xl/sharedStrings.xml><?xml version="1.0" encoding="utf-8"?>
<sst xmlns="http://schemas.openxmlformats.org/spreadsheetml/2006/main" count="101" uniqueCount="55">
  <si>
    <t>F-ORION Tecnologia de Aplicação</t>
  </si>
  <si>
    <t>Prestação de Serviços - Santa Vergínia Agropecuária e Florestal LTDA</t>
  </si>
  <si>
    <t xml:space="preserve">Operação Realizada </t>
  </si>
  <si>
    <t>Produto</t>
  </si>
  <si>
    <t>Recomendação</t>
  </si>
  <si>
    <t>Volume de Calda</t>
  </si>
  <si>
    <t>Horto</t>
  </si>
  <si>
    <t>Talhão</t>
  </si>
  <si>
    <t>há total</t>
  </si>
  <si>
    <t>há aplicado</t>
  </si>
  <si>
    <t>Data Início</t>
  </si>
  <si>
    <t>Tarifa (R$/há)</t>
  </si>
  <si>
    <t>Valor Total</t>
  </si>
  <si>
    <t>Insumos</t>
  </si>
  <si>
    <t xml:space="preserve">Qtde </t>
  </si>
  <si>
    <t>Recomendação2</t>
  </si>
  <si>
    <t>Observação</t>
  </si>
  <si>
    <t>Eucalipto</t>
  </si>
  <si>
    <t>Córrego do Campo</t>
  </si>
  <si>
    <t>Controle de formiga</t>
  </si>
  <si>
    <t>Pré emergente</t>
  </si>
  <si>
    <t>Fordor</t>
  </si>
  <si>
    <t>15 kg/há</t>
  </si>
  <si>
    <t>Sede</t>
  </si>
  <si>
    <t>Abastecimento</t>
  </si>
  <si>
    <t>Período: Maio / 2026</t>
  </si>
  <si>
    <t>10 l/há</t>
  </si>
  <si>
    <t>Tuit</t>
  </si>
  <si>
    <t>Fordor + Tuit</t>
  </si>
  <si>
    <t>Aldeia</t>
  </si>
  <si>
    <t>App,s</t>
  </si>
  <si>
    <t>Reserva/C. Campo/Eucalipto</t>
  </si>
  <si>
    <t xml:space="preserve">10 l/ha </t>
  </si>
  <si>
    <t xml:space="preserve">Reserva </t>
  </si>
  <si>
    <t>521 ao 525</t>
  </si>
  <si>
    <t>17 kg/há</t>
  </si>
  <si>
    <t>109A ao 141</t>
  </si>
  <si>
    <t>240/243/244</t>
  </si>
  <si>
    <t>Isca Landrin</t>
  </si>
  <si>
    <t>0,15 kg/há</t>
  </si>
  <si>
    <t>221/223</t>
  </si>
  <si>
    <t>Fordor + Verdict</t>
  </si>
  <si>
    <t>0,15 e 0,6 /há</t>
  </si>
  <si>
    <t>8 l/há</t>
  </si>
  <si>
    <t>548/549</t>
  </si>
  <si>
    <t>0,10 kg/há</t>
  </si>
  <si>
    <t>521/525</t>
  </si>
  <si>
    <t>0,15 e 0,1 /há</t>
  </si>
  <si>
    <t>216 ao 219</t>
  </si>
  <si>
    <t>521/522/525</t>
  </si>
  <si>
    <t>Deslocamento</t>
  </si>
  <si>
    <t>Fazenda</t>
  </si>
  <si>
    <t>C. Campo Torre</t>
  </si>
  <si>
    <t xml:space="preserve">Isca pegou </t>
  </si>
  <si>
    <t>umidade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</si>
</sst>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2060"/>
      <name val="Calibri"/>
      <family val="2"/>
    </font>
    <font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b/>
      <i/>
      <sz val="11"/>
      <color rgb="FFC00000"/>
      <name val="Calibri"/>
      <family val="2"/>
    </font>
    <font>
      <i/>
      <sz val="11"/>
      <color theme="0"/>
      <name val="Calibri"/>
      <family val="2"/>
    </font>
    <font>
      <i/>
      <sz val="8"/>
      <color rgb="FF002060"/>
      <name val="Calibri"/>
      <family val="2"/>
    </font>
    <font>
      <sz val="11"/>
      <name val="Calibri"/>
    </font>
    <font>
      <b/>
      <i/>
      <sz val="11"/>
      <color rgb="FF00B05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23355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16" fontId="4" fillId="0" borderId="0" xfId="0" applyNumberFormat="1" applyFont="1" applyAlignment="1">
      <alignment vertical="center"/>
    </xf>
    <xf numFmtId="44" fontId="5" fillId="0" borderId="0" xfId="0" applyNumberFormat="1" applyFont="1" applyAlignment="1">
      <alignment vertical="center"/>
    </xf>
    <xf numFmtId="20" fontId="6" fillId="0" borderId="0" xfId="0" applyNumberFormat="1" applyFont="1" applyAlignment="1">
      <alignment vertical="center"/>
    </xf>
    <xf numFmtId="20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4" fontId="2" fillId="3" borderId="1" xfId="1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4" fontId="9" fillId="4" borderId="0" xfId="0" applyNumberFormat="1" applyFont="1" applyFill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0" borderId="0" xfId="0" applyFont="1"/>
    <xf numFmtId="1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14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44" fontId="11" fillId="5" borderId="1" xfId="1" applyFont="1" applyFill="1" applyBorder="1" applyAlignment="1">
      <alignment horizontal="center"/>
    </xf>
    <xf numFmtId="20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14" fontId="11" fillId="6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44" fontId="11" fillId="6" borderId="1" xfId="1" applyFont="1" applyFill="1" applyBorder="1" applyAlignment="1">
      <alignment horizontal="center"/>
    </xf>
    <xf numFmtId="1" fontId="13" fillId="0" borderId="5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1" fontId="11" fillId="5" borderId="6" xfId="0" applyNumberFormat="1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2" fontId="11" fillId="5" borderId="6" xfId="0" applyNumberFormat="1" applyFont="1" applyFill="1" applyBorder="1" applyAlignment="1">
      <alignment horizontal="center" vertical="center"/>
    </xf>
    <xf numFmtId="14" fontId="11" fillId="5" borderId="6" xfId="0" applyNumberFormat="1" applyFont="1" applyFill="1" applyBorder="1" applyAlignment="1">
      <alignment horizontal="center" vertical="center"/>
    </xf>
    <xf numFmtId="164" fontId="11" fillId="5" borderId="6" xfId="0" applyNumberFormat="1" applyFont="1" applyFill="1" applyBorder="1" applyAlignment="1">
      <alignment horizontal="center" vertical="center"/>
    </xf>
    <xf numFmtId="1" fontId="11" fillId="6" borderId="6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2" fontId="11" fillId="6" borderId="6" xfId="0" applyNumberFormat="1" applyFont="1" applyFill="1" applyBorder="1" applyAlignment="1">
      <alignment horizontal="center" vertical="center"/>
    </xf>
    <xf numFmtId="14" fontId="11" fillId="6" borderId="6" xfId="0" applyNumberFormat="1" applyFont="1" applyFill="1" applyBorder="1" applyAlignment="1">
      <alignment horizontal="center" vertical="center"/>
    </xf>
    <xf numFmtId="164" fontId="11" fillId="6" borderId="6" xfId="0" applyNumberFormat="1" applyFont="1" applyFill="1" applyBorder="1" applyAlignment="1">
      <alignment horizontal="center" vertical="center"/>
    </xf>
    <xf numFmtId="1" fontId="15" fillId="5" borderId="6" xfId="0" applyNumberFormat="1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2" fontId="15" fillId="5" borderId="6" xfId="0" applyNumberFormat="1" applyFont="1" applyFill="1" applyBorder="1" applyAlignment="1">
      <alignment horizontal="center" vertical="center"/>
    </xf>
    <xf numFmtId="14" fontId="15" fillId="5" borderId="6" xfId="0" applyNumberFormat="1" applyFont="1" applyFill="1" applyBorder="1" applyAlignment="1">
      <alignment horizontal="center" vertical="center"/>
    </xf>
    <xf numFmtId="164" fontId="15" fillId="5" borderId="6" xfId="0" applyNumberFormat="1" applyFont="1" applyFill="1" applyBorder="1" applyAlignment="1">
      <alignment horizontal="center" vertical="center"/>
    </xf>
    <xf numFmtId="164" fontId="15" fillId="5" borderId="1" xfId="1" applyNumberFormat="1" applyFont="1" applyFill="1" applyBorder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6" fillId="2" borderId="6" xfId="0" applyNumberFormat="1" applyFont="1" applyFill="1" applyBorder="1" applyAlignment="1">
      <alignment horizontal="center" vertical="center"/>
    </xf>
    <xf numFmtId="0" fontId="0" fillId="2" borderId="0" xfId="0" applyFill="1"/>
    <xf numFmtId="0" fontId="16" fillId="2" borderId="6" xfId="0" applyFont="1" applyFill="1" applyBorder="1" applyAlignment="1">
      <alignment horizontal="center" vertical="center"/>
    </xf>
    <xf numFmtId="14" fontId="16" fillId="2" borderId="6" xfId="0" applyNumberFormat="1" applyFont="1" applyFill="1" applyBorder="1" applyAlignment="1">
      <alignment horizontal="center" vertical="center"/>
    </xf>
    <xf numFmtId="44" fontId="16" fillId="2" borderId="6" xfId="0" applyNumberFormat="1" applyFont="1" applyFill="1" applyBorder="1" applyAlignment="1">
      <alignment horizontal="center"/>
    </xf>
    <xf numFmtId="16" fontId="0" fillId="0" borderId="0" xfId="0" applyNumberFormat="1"/>
    <xf numFmtId="1" fontId="17" fillId="6" borderId="1" xfId="0" applyNumberFormat="1" applyFont="1" applyFill="1" applyBorder="1" applyAlignment="1">
      <alignment horizontal="center" vertical="center"/>
    </xf>
    <xf numFmtId="2" fontId="14" fillId="5" borderId="1" xfId="0" applyNumberFormat="1" applyFont="1" applyFill="1" applyBorder="1" applyAlignment="1">
      <alignment horizontal="center" vertical="center"/>
    </xf>
    <xf numFmtId="2" fontId="14" fillId="6" borderId="1" xfId="0" applyNumberFormat="1" applyFont="1" applyFill="1" applyBorder="1" applyAlignment="1">
      <alignment horizontal="center" vertical="center"/>
    </xf>
    <xf numFmtId="1" fontId="18" fillId="0" borderId="5" xfId="0" applyNumberFormat="1" applyFont="1" applyFill="1" applyBorder="1" applyAlignment="1">
      <alignment horizontal="center" vertical="center"/>
    </xf>
    <xf numFmtId="1" fontId="18" fillId="0" borderId="4" xfId="0" applyNumberFormat="1" applyFont="1" applyFill="1" applyBorder="1" applyAlignment="1">
      <alignment horizontal="center" vertical="center"/>
    </xf>
    <xf numFmtId="1" fontId="15" fillId="6" borderId="6" xfId="0" applyNumberFormat="1" applyFont="1" applyFill="1" applyBorder="1" applyAlignment="1">
      <alignment horizontal="center" vertical="center"/>
    </xf>
    <xf numFmtId="1" fontId="15" fillId="6" borderId="1" xfId="0" applyNumberFormat="1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2" fontId="15" fillId="6" borderId="6" xfId="0" applyNumberFormat="1" applyFont="1" applyFill="1" applyBorder="1" applyAlignment="1">
      <alignment horizontal="center" vertical="center"/>
    </xf>
    <xf numFmtId="14" fontId="15" fillId="6" borderId="6" xfId="0" applyNumberFormat="1" applyFont="1" applyFill="1" applyBorder="1" applyAlignment="1">
      <alignment horizontal="center" vertical="center"/>
    </xf>
    <xf numFmtId="164" fontId="15" fillId="6" borderId="6" xfId="0" applyNumberFormat="1" applyFont="1" applyFill="1" applyBorder="1" applyAlignment="1">
      <alignment horizontal="center" vertical="center"/>
    </xf>
    <xf numFmtId="164" fontId="15" fillId="6" borderId="1" xfId="1" applyNumberFormat="1" applyFont="1" applyFill="1" applyBorder="1" applyAlignment="1">
      <alignment horizontal="center"/>
    </xf>
    <xf numFmtId="0" fontId="19" fillId="5" borderId="1" xfId="0" applyFont="1" applyFill="1" applyBorder="1" applyAlignment="1">
      <alignment horizontal="right" vertical="center"/>
    </xf>
    <xf numFmtId="0" fontId="19" fillId="5" borderId="1" xfId="0" applyFont="1" applyFill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9" formatCode="dd/mm/yyyy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00206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00206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medium">
          <color auto="1"/>
        </left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0</xdr:rowOff>
    </xdr:from>
    <xdr:to>
      <xdr:col>1</xdr:col>
      <xdr:colOff>1699260</xdr:colOff>
      <xdr:row>4</xdr:row>
      <xdr:rowOff>83820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A5247D-AFD4-4414-8543-B723E5D55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0"/>
          <a:ext cx="1752600" cy="1043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4FA19-B780-4FE7-BDF9-7EE00F4D37C6}" name="TAB_APONT" displayName="TAB_APONT" ref="B6:P24" totalsRowCount="1" headerRowDxfId="25" dataDxfId="24" tableBorderDxfId="23">
  <autoFilter ref="B6:P23" xr:uid="{0944FA19-B780-4FE7-BDF9-7EE00F4D37C6}"/>
  <tableColumns count="15">
    <tableColumn id="2" xr3:uid="{61B44234-AE7E-4AD8-AC80-53614A0E2581}" name="Operação Realizada " totalsRowDxfId="12"/>
    <tableColumn id="6" xr3:uid="{2C3B2798-6A39-485F-BA6B-2E25B03D2E34}" name="Produto" dataDxfId="22" totalsRowDxfId="11"/>
    <tableColumn id="10" xr3:uid="{56048300-5A4C-48A0-9E67-43A58BDAB759}" name="Recomendação" dataDxfId="21" totalsRowDxfId="20"/>
    <tableColumn id="11" xr3:uid="{21FF776D-DF08-48B9-A005-80F08811B5E5}" name="Volume de Calda" dataDxfId="19" totalsRowDxfId="18"/>
    <tableColumn id="3" xr3:uid="{AD0D9423-DA36-43DA-ACF5-9A78AA8D2D37}" name="Horto" totalsRowDxfId="10"/>
    <tableColumn id="5" xr3:uid="{EEB86292-1486-483F-AD3B-AAA067B3AA67}" name="Talhão" totalsRowDxfId="9"/>
    <tableColumn id="7" xr3:uid="{DA944986-5159-45B9-9A14-DF518D0ED6E3}" name="há total" totalsRowDxfId="8"/>
    <tableColumn id="4" xr3:uid="{AA35DA5E-8C27-4542-8571-51EC06E3A30D}" name="há aplicado" totalsRowFunction="sum" totalsRowDxfId="7"/>
    <tableColumn id="9" xr3:uid="{872D2B34-0BE0-4611-8919-F381BB6D94BD}" name="Data Início" totalsRowDxfId="6"/>
    <tableColumn id="15" xr3:uid="{BE98D44C-65D2-4249-AFE9-39A8EFB28557}" name="Tarifa (R$/há)" totalsRowDxfId="5"/>
    <tableColumn id="8" xr3:uid="{6AAD79AD-C47C-40EA-A03C-2F17821CD97D}" name="Valor Total" totalsRowFunction="sum" dataDxfId="17" totalsRowDxfId="4">
      <calculatedColumnFormula>TAB_APONT[[#This Row],[Tarifa (R$/há)]]*TAB_APONT[[#This Row],[há aplicado]]</calculatedColumnFormula>
    </tableColumn>
    <tableColumn id="13" xr3:uid="{4C49B1B8-6FCB-4762-8012-ACF5EACCF975}" name="Insumos" dataDxfId="16" totalsRowDxfId="3"/>
    <tableColumn id="14" xr3:uid="{66A0BDBE-E2C7-4C1D-9AAE-1D4DA045A5E8}" name="Qtde " dataDxfId="15" totalsRowDxfId="2"/>
    <tableColumn id="18" xr3:uid="{CE736598-4504-4B75-86F9-8627EE2C983B}" name="Recomendação2" dataDxfId="14" totalsRowDxfId="1"/>
    <tableColumn id="19" xr3:uid="{5FC74298-8442-4087-8736-F52FB9C33C0E}" name="Observação" dataDxfId="13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1"/>
  <sheetViews>
    <sheetView showGridLines="0" tabSelected="1" topLeftCell="B1" workbookViewId="0">
      <selection activeCell="J15" sqref="J15"/>
    </sheetView>
  </sheetViews>
  <sheetFormatPr defaultColWidth="24.109375" defaultRowHeight="14.4" x14ac:dyDescent="0.3"/>
  <cols>
    <col min="1" max="1" width="5.77734375" customWidth="1"/>
    <col min="2" max="2" width="25.88671875" customWidth="1"/>
    <col min="3" max="3" width="18.6640625" customWidth="1"/>
    <col min="4" max="5" width="18.77734375" customWidth="1"/>
    <col min="6" max="6" width="18.77734375" style="2" customWidth="1"/>
    <col min="7" max="7" width="13.77734375" customWidth="1"/>
    <col min="8" max="9" width="14.77734375" customWidth="1"/>
    <col min="10" max="10" width="14.77734375" style="3" customWidth="1"/>
    <col min="11" max="11" width="16.77734375" style="4" customWidth="1"/>
    <col min="12" max="12" width="16.88671875" style="5" customWidth="1"/>
    <col min="13" max="13" width="60.88671875" hidden="1" customWidth="1"/>
    <col min="14" max="14" width="48.44140625" hidden="1" customWidth="1"/>
    <col min="15" max="16" width="0" hidden="1" customWidth="1"/>
  </cols>
  <sheetData>
    <row r="2" spans="2:16" ht="15.6" x14ac:dyDescent="0.3">
      <c r="C2" s="1" t="s">
        <v>0</v>
      </c>
      <c r="D2" s="1"/>
      <c r="E2" s="1"/>
    </row>
    <row r="3" spans="2:16" ht="22.8" x14ac:dyDescent="0.3">
      <c r="C3" s="1" t="s">
        <v>1</v>
      </c>
      <c r="D3" s="1"/>
      <c r="E3" s="1"/>
      <c r="F3" s="6"/>
      <c r="G3" s="6"/>
      <c r="H3" s="6"/>
      <c r="I3" s="6"/>
      <c r="J3" s="6"/>
      <c r="K3" s="7"/>
      <c r="L3" s="8"/>
    </row>
    <row r="4" spans="2:16" ht="22.8" x14ac:dyDescent="0.3">
      <c r="C4" s="9" t="s">
        <v>25</v>
      </c>
      <c r="D4" s="9"/>
      <c r="E4" s="9"/>
      <c r="F4" s="6"/>
      <c r="G4" s="6"/>
      <c r="H4" s="6"/>
      <c r="I4" s="6"/>
      <c r="J4" s="6"/>
      <c r="K4" s="7"/>
      <c r="L4" s="8"/>
    </row>
    <row r="5" spans="2:16" ht="17.399999999999999" x14ac:dyDescent="0.3">
      <c r="F5" s="10"/>
      <c r="G5" s="11"/>
      <c r="H5" s="12"/>
      <c r="I5" s="12"/>
      <c r="J5" s="13"/>
      <c r="K5" s="14"/>
      <c r="L5" s="15"/>
    </row>
    <row r="6" spans="2:16" s="26" customFormat="1" x14ac:dyDescent="0.3">
      <c r="B6" s="16" t="s">
        <v>2</v>
      </c>
      <c r="C6" s="16" t="s">
        <v>3</v>
      </c>
      <c r="D6" s="16" t="s">
        <v>4</v>
      </c>
      <c r="E6" s="16" t="s">
        <v>5</v>
      </c>
      <c r="F6" s="17" t="s">
        <v>6</v>
      </c>
      <c r="G6" s="17" t="s">
        <v>7</v>
      </c>
      <c r="H6" s="17" t="s">
        <v>8</v>
      </c>
      <c r="I6" s="18" t="s">
        <v>9</v>
      </c>
      <c r="J6" s="19" t="s">
        <v>10</v>
      </c>
      <c r="K6" s="20" t="s">
        <v>11</v>
      </c>
      <c r="L6" s="21" t="s">
        <v>12</v>
      </c>
      <c r="M6" s="22" t="s">
        <v>13</v>
      </c>
      <c r="N6" s="23" t="s">
        <v>14</v>
      </c>
      <c r="O6" s="24" t="s">
        <v>15</v>
      </c>
      <c r="P6" s="25" t="s">
        <v>16</v>
      </c>
    </row>
    <row r="7" spans="2:16" x14ac:dyDescent="0.3">
      <c r="B7" s="27" t="s">
        <v>20</v>
      </c>
      <c r="C7" s="27" t="s">
        <v>28</v>
      </c>
      <c r="D7" s="27" t="s">
        <v>47</v>
      </c>
      <c r="E7" s="27" t="s">
        <v>26</v>
      </c>
      <c r="F7" s="27" t="s">
        <v>29</v>
      </c>
      <c r="G7" s="28">
        <v>527</v>
      </c>
      <c r="H7" s="28"/>
      <c r="I7" s="29">
        <v>14.1</v>
      </c>
      <c r="J7" s="30">
        <v>46145</v>
      </c>
      <c r="K7" s="31">
        <v>75</v>
      </c>
      <c r="L7" s="32">
        <f>TAB_APONT[[#This Row],[Tarifa (R$/há)]]*TAB_APONT[[#This Row],[há aplicado]]</f>
        <v>1057.5</v>
      </c>
      <c r="M7" s="33"/>
      <c r="N7" s="34"/>
      <c r="O7" s="35"/>
      <c r="P7" s="35"/>
    </row>
    <row r="8" spans="2:16" x14ac:dyDescent="0.3">
      <c r="B8" s="36" t="s">
        <v>19</v>
      </c>
      <c r="C8" s="36" t="s">
        <v>38</v>
      </c>
      <c r="D8" s="36" t="s">
        <v>22</v>
      </c>
      <c r="E8" s="36" t="s">
        <v>22</v>
      </c>
      <c r="F8" s="67" t="s">
        <v>31</v>
      </c>
      <c r="G8" s="37" t="s">
        <v>30</v>
      </c>
      <c r="H8" s="37"/>
      <c r="I8" s="38">
        <v>20.8</v>
      </c>
      <c r="J8" s="39">
        <v>46146</v>
      </c>
      <c r="K8" s="40">
        <v>75</v>
      </c>
      <c r="L8" s="41">
        <f>TAB_APONT[[#This Row],[Tarifa (R$/há)]]*TAB_APONT[[#This Row],[há aplicado]]</f>
        <v>1560</v>
      </c>
      <c r="M8" s="42"/>
      <c r="N8" s="43"/>
      <c r="O8" s="43"/>
      <c r="P8" s="43"/>
    </row>
    <row r="9" spans="2:16" x14ac:dyDescent="0.3">
      <c r="B9" s="27" t="s">
        <v>20</v>
      </c>
      <c r="C9" s="27" t="s">
        <v>21</v>
      </c>
      <c r="D9" s="27" t="s">
        <v>39</v>
      </c>
      <c r="E9" s="27" t="s">
        <v>26</v>
      </c>
      <c r="F9" s="27" t="s">
        <v>33</v>
      </c>
      <c r="G9" s="28" t="s">
        <v>48</v>
      </c>
      <c r="H9" s="28"/>
      <c r="I9" s="29">
        <v>143.30000000000001</v>
      </c>
      <c r="J9" s="30">
        <v>46148</v>
      </c>
      <c r="K9" s="31">
        <v>75</v>
      </c>
      <c r="L9" s="32">
        <f>TAB_APONT[[#This Row],[Tarifa (R$/há)]]*TAB_APONT[[#This Row],[há aplicado]]</f>
        <v>10747.5</v>
      </c>
      <c r="M9" s="33"/>
      <c r="N9" s="34"/>
      <c r="O9" s="35"/>
      <c r="P9" s="35"/>
    </row>
    <row r="10" spans="2:16" x14ac:dyDescent="0.3">
      <c r="B10" s="36" t="s">
        <v>19</v>
      </c>
      <c r="C10" s="36" t="s">
        <v>38</v>
      </c>
      <c r="D10" s="36" t="s">
        <v>22</v>
      </c>
      <c r="E10" s="36" t="s">
        <v>35</v>
      </c>
      <c r="F10" s="36" t="s">
        <v>29</v>
      </c>
      <c r="G10" s="37" t="s">
        <v>34</v>
      </c>
      <c r="H10" s="37"/>
      <c r="I10" s="69">
        <v>48.8</v>
      </c>
      <c r="J10" s="39">
        <v>46153</v>
      </c>
      <c r="K10" s="40">
        <v>75</v>
      </c>
      <c r="L10" s="41">
        <f>TAB_APONT[[#This Row],[Tarifa (R$/há)]]*TAB_APONT[[#This Row],[há aplicado]]</f>
        <v>3660</v>
      </c>
      <c r="M10" s="35"/>
      <c r="N10" s="35"/>
      <c r="O10" s="35"/>
      <c r="P10" s="35"/>
    </row>
    <row r="11" spans="2:16" x14ac:dyDescent="0.3">
      <c r="B11" s="27" t="s">
        <v>19</v>
      </c>
      <c r="C11" s="27" t="s">
        <v>38</v>
      </c>
      <c r="D11" s="27" t="s">
        <v>22</v>
      </c>
      <c r="E11" s="27" t="s">
        <v>35</v>
      </c>
      <c r="F11" s="27" t="s">
        <v>23</v>
      </c>
      <c r="G11" s="28" t="s">
        <v>36</v>
      </c>
      <c r="H11" s="28"/>
      <c r="I11" s="68">
        <v>51.2</v>
      </c>
      <c r="J11" s="30">
        <v>46155</v>
      </c>
      <c r="K11" s="31">
        <v>75</v>
      </c>
      <c r="L11" s="32">
        <f>TAB_APONT[[#This Row],[Tarifa (R$/há)]]*TAB_APONT[[#This Row],[há aplicado]]</f>
        <v>3840</v>
      </c>
      <c r="M11" s="35"/>
      <c r="N11" s="35"/>
      <c r="O11" s="35"/>
      <c r="P11" s="35"/>
    </row>
    <row r="12" spans="2:16" x14ac:dyDescent="0.3">
      <c r="B12" s="36" t="s">
        <v>20</v>
      </c>
      <c r="C12" s="36" t="s">
        <v>21</v>
      </c>
      <c r="D12" s="36" t="s">
        <v>39</v>
      </c>
      <c r="E12" s="36" t="s">
        <v>32</v>
      </c>
      <c r="F12" s="36" t="s">
        <v>29</v>
      </c>
      <c r="G12" s="37" t="s">
        <v>49</v>
      </c>
      <c r="H12" s="37"/>
      <c r="I12" s="69">
        <v>47.24</v>
      </c>
      <c r="J12" s="39">
        <v>46157</v>
      </c>
      <c r="K12" s="40">
        <v>75</v>
      </c>
      <c r="L12" s="41">
        <f>TAB_APONT[[#This Row],[Tarifa (R$/há)]]*TAB_APONT[[#This Row],[há aplicado]]</f>
        <v>3543</v>
      </c>
      <c r="M12" s="35"/>
      <c r="N12" s="35"/>
      <c r="O12" s="35"/>
      <c r="P12" s="35"/>
    </row>
    <row r="13" spans="2:16" x14ac:dyDescent="0.3">
      <c r="B13" s="27" t="s">
        <v>20</v>
      </c>
      <c r="C13" s="27" t="s">
        <v>21</v>
      </c>
      <c r="D13" s="27" t="s">
        <v>39</v>
      </c>
      <c r="E13" s="27" t="s">
        <v>43</v>
      </c>
      <c r="F13" s="27" t="s">
        <v>17</v>
      </c>
      <c r="G13" s="28" t="s">
        <v>40</v>
      </c>
      <c r="H13" s="28"/>
      <c r="I13" s="68">
        <v>106.6</v>
      </c>
      <c r="J13" s="30">
        <v>46160</v>
      </c>
      <c r="K13" s="31">
        <v>75</v>
      </c>
      <c r="L13" s="32">
        <f>TAB_APONT[[#This Row],[Tarifa (R$/há)]]*TAB_APONT[[#This Row],[há aplicado]]</f>
        <v>7995</v>
      </c>
      <c r="M13" s="35"/>
      <c r="N13" s="35"/>
      <c r="O13" s="35"/>
      <c r="P13" s="35"/>
    </row>
    <row r="14" spans="2:16" x14ac:dyDescent="0.3">
      <c r="B14" s="36" t="s">
        <v>19</v>
      </c>
      <c r="C14" s="36" t="s">
        <v>38</v>
      </c>
      <c r="D14" s="36" t="s">
        <v>22</v>
      </c>
      <c r="E14" s="36" t="s">
        <v>22</v>
      </c>
      <c r="F14" s="36" t="s">
        <v>17</v>
      </c>
      <c r="G14" s="37" t="s">
        <v>37</v>
      </c>
      <c r="H14" s="37"/>
      <c r="I14" s="69">
        <v>46.6</v>
      </c>
      <c r="J14" s="39">
        <v>46161</v>
      </c>
      <c r="K14" s="40">
        <v>75</v>
      </c>
      <c r="L14" s="41">
        <f>TAB_APONT[[#This Row],[Tarifa (R$/há)]]*TAB_APONT[[#This Row],[há aplicado]]</f>
        <v>3495</v>
      </c>
      <c r="M14" s="42"/>
      <c r="N14" s="43"/>
      <c r="O14" s="43"/>
      <c r="P14" s="43"/>
    </row>
    <row r="15" spans="2:16" x14ac:dyDescent="0.3">
      <c r="B15" s="27" t="s">
        <v>19</v>
      </c>
      <c r="C15" s="27"/>
      <c r="D15" s="27" t="s">
        <v>22</v>
      </c>
      <c r="E15" s="27" t="s">
        <v>22</v>
      </c>
      <c r="F15" s="27" t="s">
        <v>52</v>
      </c>
      <c r="G15" s="79" t="s">
        <v>53</v>
      </c>
      <c r="H15" s="80" t="s">
        <v>54</v>
      </c>
      <c r="I15" s="68">
        <v>98.4</v>
      </c>
      <c r="J15" s="30">
        <v>46161</v>
      </c>
      <c r="K15" s="31">
        <v>0</v>
      </c>
      <c r="L15" s="32">
        <f>TAB_APONT[[#This Row],[Tarifa (R$/há)]]*TAB_APONT[[#This Row],[há aplicado]]</f>
        <v>0</v>
      </c>
      <c r="M15" s="70"/>
      <c r="N15" s="71"/>
      <c r="O15" s="71"/>
      <c r="P15" s="71"/>
    </row>
    <row r="16" spans="2:16" x14ac:dyDescent="0.3">
      <c r="B16" s="36" t="s">
        <v>20</v>
      </c>
      <c r="C16" s="36" t="s">
        <v>41</v>
      </c>
      <c r="D16" s="36" t="s">
        <v>42</v>
      </c>
      <c r="E16" s="36" t="s">
        <v>32</v>
      </c>
      <c r="F16" s="36" t="s">
        <v>17</v>
      </c>
      <c r="G16" s="37">
        <v>344</v>
      </c>
      <c r="H16" s="37"/>
      <c r="I16" s="38">
        <v>47.5</v>
      </c>
      <c r="J16" s="39">
        <v>46162</v>
      </c>
      <c r="K16" s="40">
        <v>75</v>
      </c>
      <c r="L16" s="41">
        <f>TAB_APONT[[#This Row],[Tarifa (R$/há)]]*TAB_APONT[[#This Row],[há aplicado]]</f>
        <v>3562.5</v>
      </c>
      <c r="M16" s="42"/>
      <c r="N16" s="43"/>
      <c r="O16" s="43"/>
      <c r="P16" s="43"/>
    </row>
    <row r="17" spans="2:16" x14ac:dyDescent="0.3">
      <c r="B17" s="27" t="s">
        <v>20</v>
      </c>
      <c r="C17" s="27" t="s">
        <v>21</v>
      </c>
      <c r="D17" s="27" t="s">
        <v>39</v>
      </c>
      <c r="E17" s="27" t="s">
        <v>43</v>
      </c>
      <c r="F17" s="44" t="s">
        <v>17</v>
      </c>
      <c r="G17" s="45">
        <v>345</v>
      </c>
      <c r="H17" s="45"/>
      <c r="I17" s="46">
        <v>38</v>
      </c>
      <c r="J17" s="47">
        <v>46162</v>
      </c>
      <c r="K17" s="48">
        <v>75</v>
      </c>
      <c r="L17" s="32">
        <f>TAB_APONT[[#This Row],[Tarifa (R$/há)]]*TAB_APONT[[#This Row],[há aplicado]]</f>
        <v>2850</v>
      </c>
      <c r="M17" s="42"/>
      <c r="N17" s="43"/>
      <c r="O17" s="43"/>
      <c r="P17" s="43"/>
    </row>
    <row r="18" spans="2:16" x14ac:dyDescent="0.3">
      <c r="B18" s="36" t="s">
        <v>20</v>
      </c>
      <c r="C18" s="36" t="s">
        <v>21</v>
      </c>
      <c r="D18" s="36" t="s">
        <v>39</v>
      </c>
      <c r="E18" s="36" t="s">
        <v>26</v>
      </c>
      <c r="F18" s="49" t="s">
        <v>17</v>
      </c>
      <c r="G18" s="50">
        <v>347</v>
      </c>
      <c r="H18" s="50"/>
      <c r="I18" s="51">
        <v>30.11</v>
      </c>
      <c r="J18" s="52">
        <v>46163</v>
      </c>
      <c r="K18" s="53">
        <v>75</v>
      </c>
      <c r="L18" s="41">
        <f>TAB_APONT[[#This Row],[Tarifa (R$/há)]]*TAB_APONT[[#This Row],[há aplicado]]</f>
        <v>2258.25</v>
      </c>
      <c r="M18" s="42"/>
      <c r="N18" s="43"/>
      <c r="O18" s="43"/>
      <c r="P18" s="43"/>
    </row>
    <row r="19" spans="2:16" x14ac:dyDescent="0.3">
      <c r="B19" s="27" t="s">
        <v>19</v>
      </c>
      <c r="C19" s="27" t="s">
        <v>27</v>
      </c>
      <c r="D19" s="27" t="s">
        <v>45</v>
      </c>
      <c r="E19" s="27" t="s">
        <v>26</v>
      </c>
      <c r="F19" s="44" t="s">
        <v>18</v>
      </c>
      <c r="G19" s="45" t="s">
        <v>44</v>
      </c>
      <c r="H19" s="45"/>
      <c r="I19" s="46">
        <v>67.400000000000006</v>
      </c>
      <c r="J19" s="47">
        <v>46165</v>
      </c>
      <c r="K19" s="48">
        <v>50</v>
      </c>
      <c r="L19" s="32">
        <f>TAB_APONT[[#This Row],[Tarifa (R$/há)]]*TAB_APONT[[#This Row],[há aplicado]]</f>
        <v>3370.0000000000005</v>
      </c>
      <c r="M19" s="42"/>
      <c r="N19" s="43"/>
      <c r="O19" s="43"/>
      <c r="P19" s="43"/>
    </row>
    <row r="20" spans="2:16" x14ac:dyDescent="0.3">
      <c r="B20" s="36" t="s">
        <v>20</v>
      </c>
      <c r="C20" s="36" t="s">
        <v>28</v>
      </c>
      <c r="D20" s="36" t="s">
        <v>47</v>
      </c>
      <c r="E20" s="36" t="s">
        <v>26</v>
      </c>
      <c r="F20" s="49" t="s">
        <v>29</v>
      </c>
      <c r="G20" s="50" t="s">
        <v>46</v>
      </c>
      <c r="H20" s="50"/>
      <c r="I20" s="51">
        <v>23.4</v>
      </c>
      <c r="J20" s="52">
        <v>46165</v>
      </c>
      <c r="K20" s="53">
        <v>75</v>
      </c>
      <c r="L20" s="41">
        <f>TAB_APONT[[#This Row],[Tarifa (R$/há)]]*TAB_APONT[[#This Row],[há aplicado]]</f>
        <v>1755</v>
      </c>
      <c r="M20" s="42"/>
      <c r="N20" s="43"/>
      <c r="O20" s="43"/>
      <c r="P20" s="43"/>
    </row>
    <row r="21" spans="2:16" x14ac:dyDescent="0.3">
      <c r="B21" s="44" t="s">
        <v>50</v>
      </c>
      <c r="C21" s="27"/>
      <c r="D21" s="27"/>
      <c r="E21" s="27"/>
      <c r="F21" s="44" t="s">
        <v>51</v>
      </c>
      <c r="G21" s="45"/>
      <c r="H21" s="45"/>
      <c r="I21" s="46"/>
      <c r="J21" s="47"/>
      <c r="K21" s="48"/>
      <c r="L21" s="32">
        <v>2770</v>
      </c>
      <c r="M21" s="60"/>
      <c r="N21" s="35"/>
      <c r="O21" s="35"/>
      <c r="P21" s="35"/>
    </row>
    <row r="22" spans="2:16" x14ac:dyDescent="0.3">
      <c r="B22" s="72" t="s">
        <v>24</v>
      </c>
      <c r="C22" s="73"/>
      <c r="D22" s="73"/>
      <c r="E22" s="73"/>
      <c r="F22" s="72"/>
      <c r="G22" s="74"/>
      <c r="H22" s="74">
        <v>289</v>
      </c>
      <c r="I22" s="75"/>
      <c r="J22" s="76"/>
      <c r="K22" s="77">
        <v>6.19</v>
      </c>
      <c r="L22" s="78">
        <f>-TAB_APONT[[#This Row],[há total]]*TAB_APONT[[#This Row],[Tarifa (R$/há)]]</f>
        <v>-1788.91</v>
      </c>
      <c r="M22" s="59">
        <f>-TAB_APONT[[#This Row],[há aplicado]]*TAB_APONT[[#This Row],[Valor Total]]</f>
        <v>0</v>
      </c>
      <c r="N22" s="59">
        <f>-TAB_APONT[[#This Row],[Data Início]]*TAB_APONT[[#This Row],[Insumos]]</f>
        <v>0</v>
      </c>
      <c r="O22" s="59">
        <f>-TAB_APONT[[#This Row],[Tarifa (R$/há)]]*TAB_APONT[[#This Row],[Qtde ]]</f>
        <v>0</v>
      </c>
      <c r="P22" s="59">
        <f>-TAB_APONT[[#This Row],[Valor Total]]*TAB_APONT[[#This Row],[Recomendação2]]</f>
        <v>0</v>
      </c>
    </row>
    <row r="23" spans="2:16" x14ac:dyDescent="0.3">
      <c r="B23" s="54"/>
      <c r="C23" s="27"/>
      <c r="D23" s="27"/>
      <c r="E23" s="27"/>
      <c r="F23" s="54"/>
      <c r="G23" s="55"/>
      <c r="H23" s="55">
        <v>171</v>
      </c>
      <c r="I23" s="56"/>
      <c r="J23" s="57"/>
      <c r="K23" s="58">
        <v>5.85</v>
      </c>
      <c r="L23" s="59">
        <f>-TAB_APONT[[#This Row],[há total]]*TAB_APONT[[#This Row],[Tarifa (R$/há)]]</f>
        <v>-1000.3499999999999</v>
      </c>
      <c r="M23" s="70"/>
      <c r="N23" s="71"/>
      <c r="O23" s="71"/>
      <c r="P23" s="71"/>
    </row>
    <row r="24" spans="2:16" x14ac:dyDescent="0.3">
      <c r="B24" s="61"/>
      <c r="C24" s="61"/>
      <c r="D24" s="62"/>
      <c r="E24" s="62"/>
      <c r="F24" s="61"/>
      <c r="G24" s="63"/>
      <c r="H24" s="63"/>
      <c r="I24" s="63">
        <f>SUBTOTAL(109,TAB_APONT[há aplicado])</f>
        <v>783.44999999999993</v>
      </c>
      <c r="J24" s="64"/>
      <c r="K24" s="61"/>
      <c r="L24" s="65">
        <f>SUBTOTAL(109,TAB_APONT[Valor Total])</f>
        <v>49674.49</v>
      </c>
      <c r="M24" s="60"/>
      <c r="N24" s="35"/>
      <c r="O24" s="35"/>
      <c r="P24" s="35"/>
    </row>
    <row r="29" spans="2:16" x14ac:dyDescent="0.3">
      <c r="I29" s="66"/>
    </row>
    <row r="30" spans="2:16" x14ac:dyDescent="0.3">
      <c r="I30" s="66"/>
    </row>
    <row r="31" spans="2:16" x14ac:dyDescent="0.3">
      <c r="I31" s="66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Catuliode Oliveira</dc:creator>
  <cp:lastModifiedBy>Eduardo Catuliode Oliveira</cp:lastModifiedBy>
  <dcterms:created xsi:type="dcterms:W3CDTF">2015-06-05T18:17:20Z</dcterms:created>
  <dcterms:modified xsi:type="dcterms:W3CDTF">2026-06-10T16:02:06Z</dcterms:modified>
</cp:coreProperties>
</file>