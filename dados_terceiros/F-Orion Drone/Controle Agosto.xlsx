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6207E58B-9D89-42E0-88D9-9E56AA7ED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o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L35" i="1"/>
  <c r="L34" i="1"/>
  <c r="M34" i="1" s="1"/>
  <c r="N34" i="1" s="1"/>
  <c r="O34" i="1" s="1"/>
  <c r="P34" i="1" s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36" i="1" l="1"/>
</calcChain>
</file>

<file path=xl/sharedStrings.xml><?xml version="1.0" encoding="utf-8"?>
<sst xmlns="http://schemas.openxmlformats.org/spreadsheetml/2006/main" count="130" uniqueCount="53">
  <si>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</si>
  <si>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</si>
  <si>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</si>
  <si>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</si>
  <si>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</si>
  <si>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</si>
  <si>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</si>
  <si>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</si>
  <si>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</si>
  <si>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</si>
  <si>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</si>
  <si>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</si>
  <si>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</si>
  <si>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</si>
  <si>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</si>
  <si>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</si>
  <si>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</si>
  <si>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Controle de formigas</t>
  </si>
  <si>
    <t>Fipronil</t>
  </si>
  <si>
    <t>Taquarussu</t>
  </si>
  <si>
    <t>Barra do Cervo 1</t>
  </si>
  <si>
    <t>Isca Blitz</t>
  </si>
  <si>
    <t>20 litros/há</t>
  </si>
  <si>
    <t>Deslocamento</t>
  </si>
  <si>
    <t>Abastecimento</t>
  </si>
  <si>
    <t>Gasolina</t>
  </si>
  <si>
    <t>Diesel</t>
  </si>
  <si>
    <t>Período: Agosto / 2026</t>
  </si>
  <si>
    <t>Capina Química</t>
  </si>
  <si>
    <t>Fordor + Fipronil</t>
  </si>
  <si>
    <t>231 A</t>
  </si>
  <si>
    <t>231 B</t>
  </si>
  <si>
    <t xml:space="preserve">15 litros/há </t>
  </si>
  <si>
    <t xml:space="preserve">15 kg/há </t>
  </si>
  <si>
    <t>Córrego do Campo</t>
  </si>
  <si>
    <t>Eucalipto</t>
  </si>
  <si>
    <t>Fordor + Verdict</t>
  </si>
  <si>
    <t>Fipronil + Concorde</t>
  </si>
  <si>
    <t>Fopronil + Concorde</t>
  </si>
  <si>
    <t>Barra do Cervo 3</t>
  </si>
  <si>
    <t>Fipronil + Verdict + Fordor</t>
  </si>
  <si>
    <t>81/84b/75/73</t>
  </si>
  <si>
    <t>Poço Azul</t>
  </si>
  <si>
    <t>315A ao 318B</t>
  </si>
  <si>
    <t>Psilídeo + Micros</t>
  </si>
  <si>
    <t xml:space="preserve">10 litros/há </t>
  </si>
  <si>
    <t>Sperto + Micros ICL</t>
  </si>
  <si>
    <t>Ipoméia</t>
  </si>
  <si>
    <t>626 e 628</t>
  </si>
  <si>
    <t>10 kg/há</t>
  </si>
  <si>
    <t>Isca Blits</t>
  </si>
  <si>
    <t>Fordor</t>
  </si>
  <si>
    <t>18 litros/há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</si>
</sst>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i/>
      <sz val="9"/>
      <color rgb="FF002060"/>
      <name val="Calibri"/>
      <family val="2"/>
    </font>
    <font>
      <i/>
      <sz val="11"/>
      <name val="Calibri"/>
      <family val="2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10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" fontId="15" fillId="6" borderId="6" xfId="0" applyNumberFormat="1" applyFont="1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" fontId="15" fillId="6" borderId="6" xfId="0" applyNumberFormat="1" applyFont="1" applyFill="1" applyBorder="1" applyAlignment="1">
      <alignment horizontal="center" vertical="center"/>
    </xf>
    <xf numFmtId="14" fontId="15" fillId="6" borderId="6" xfId="0" applyNumberFormat="1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/>
    </xf>
    <xf numFmtId="164" fontId="15" fillId="5" borderId="1" xfId="1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2" fontId="15" fillId="5" borderId="6" xfId="0" applyNumberFormat="1" applyFont="1" applyFill="1" applyBorder="1" applyAlignment="1">
      <alignment horizontal="center" vertical="center"/>
    </xf>
    <xf numFmtId="14" fontId="15" fillId="5" borderId="6" xfId="0" applyNumberFormat="1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6" fillId="2" borderId="6" xfId="0" applyFont="1" applyFill="1" applyBorder="1" applyAlignment="1">
      <alignment horizontal="center" vertical="center"/>
    </xf>
    <xf numFmtId="4" fontId="16" fillId="2" borderId="6" xfId="0" applyNumberFormat="1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44" fontId="16" fillId="2" borderId="6" xfId="0" applyNumberFormat="1" applyFont="1" applyFill="1" applyBorder="1" applyAlignment="1">
      <alignment horizontal="center"/>
    </xf>
    <xf numFmtId="16" fontId="0" fillId="0" borderId="0" xfId="0" applyNumberFormat="1"/>
    <xf numFmtId="1" fontId="13" fillId="6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160021</xdr:colOff>
      <xdr:row>0</xdr:row>
      <xdr:rowOff>60960</xdr:rowOff>
    </xdr:from>
    <xdr:to>
      <xdr:col>1</xdr:col>
      <xdr:colOff>1665172</xdr:colOff>
      <xdr:row>4</xdr:row>
      <xdr:rowOff>160020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75CCE8-9EFE-4C56-896D-AE96DD247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1" y="60960"/>
          <a:ext cx="1505151" cy="105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9AE0A-35FE-4C23-9B9B-231B677F9437}" name="TAB_APONT" displayName="TAB_APONT" ref="B6:P36" totalsRowCount="1" headerRowDxfId="25" dataDxfId="24" tableBorderDxfId="23">
  <autoFilter ref="B6:P35" xr:uid="{AF59AE0A-35FE-4C23-9B9B-231B677F9437}"/>
  <tableColumns count="15">
    <tableColumn id="2" xr3:uid="{5E95C579-B2ED-4B7E-A45D-7B3BCD016BE7}" name="Operação Realizada " totalsRowDxfId="12"/>
    <tableColumn id="6" xr3:uid="{66D21DAF-A0B2-4E6E-BE43-7A844DDED4D6}" name="Produto" dataDxfId="22" totalsRowDxfId="11"/>
    <tableColumn id="10" xr3:uid="{1D9EC02E-5898-416E-851B-860790FB4DA5}" name="Recomendação" dataDxfId="21" totalsRowDxfId="20"/>
    <tableColumn id="11" xr3:uid="{62C79CFD-5CE8-4C3B-995D-94648B46A10E}" name="Volume de Calda" dataDxfId="19" totalsRowDxfId="18"/>
    <tableColumn id="3" xr3:uid="{79536D1B-6D59-4779-A6C7-98EAC3815E82}" name="Horto" totalsRowDxfId="10"/>
    <tableColumn id="5" xr3:uid="{66620A91-6D7D-49FE-ABAD-ABA118A97441}" name="Talhão" totalsRowDxfId="9"/>
    <tableColumn id="7" xr3:uid="{B04AA8F5-F5F0-4EFC-8DBC-3A6B1BEDC38C}" name="há total" totalsRowDxfId="8"/>
    <tableColumn id="4" xr3:uid="{FBFE7856-541F-4014-AAE4-8AAB6498E5DE}" name="há aplicado" totalsRowFunction="sum" totalsRowDxfId="7"/>
    <tableColumn id="9" xr3:uid="{1916F959-DADF-422E-BFE3-B085E51FEAFC}" name="Data Início" totalsRowDxfId="6"/>
    <tableColumn id="15" xr3:uid="{D60009A8-8CFE-4081-941F-6B363824F61A}" name="Tarifa (R$/há)" totalsRowDxfId="5"/>
    <tableColumn id="8" xr3:uid="{7E8E60DF-5B26-43D2-9F77-B293F88D8558}" name="Valor Total" totalsRowFunction="sum" dataDxfId="17" totalsRowDxfId="4">
      <calculatedColumnFormula>TAB_APONT[[#This Row],[Tarifa (R$/há)]]*TAB_APONT[[#This Row],[há aplicado]]</calculatedColumnFormula>
    </tableColumn>
    <tableColumn id="13" xr3:uid="{4C42344A-C7D1-40CF-8CAE-96567A7F6392}" name="Insumos" dataDxfId="16" totalsRowDxfId="3"/>
    <tableColumn id="14" xr3:uid="{5ADF3EF5-E283-4789-84B5-D505D9988844}" name="Qtde " dataDxfId="15" totalsRowDxfId="2"/>
    <tableColumn id="18" xr3:uid="{3F558125-15BF-47C4-ABBE-03BEDF529D4D}" name="Recomendação2" dataDxfId="14" totalsRowDxfId="1"/>
    <tableColumn id="19" xr3:uid="{7D7784E2-6F0C-4C58-9E6F-14994493A27C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3"/>
  <sheetViews>
    <sheetView showGridLines="0" tabSelected="1" topLeftCell="A19" workbookViewId="0">
      <selection activeCell="I39" sqref="I39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27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16" customFormat="1" x14ac:dyDescent="0.3">
      <c r="B6" s="17" t="s">
        <v>2</v>
      </c>
      <c r="C6" s="17" t="s">
        <v>3</v>
      </c>
      <c r="D6" s="17" t="s">
        <v>4</v>
      </c>
      <c r="E6" s="17" t="s">
        <v>5</v>
      </c>
      <c r="F6" s="18" t="s">
        <v>6</v>
      </c>
      <c r="G6" s="18" t="s">
        <v>7</v>
      </c>
      <c r="H6" s="18" t="s">
        <v>8</v>
      </c>
      <c r="I6" s="19" t="s">
        <v>9</v>
      </c>
      <c r="J6" s="20" t="s">
        <v>10</v>
      </c>
      <c r="K6" s="21" t="s">
        <v>11</v>
      </c>
      <c r="L6" s="22" t="s">
        <v>12</v>
      </c>
      <c r="M6" s="23" t="s">
        <v>13</v>
      </c>
      <c r="N6" s="24" t="s">
        <v>14</v>
      </c>
      <c r="O6" s="25" t="s">
        <v>15</v>
      </c>
      <c r="P6" s="26" t="s">
        <v>16</v>
      </c>
    </row>
    <row r="7" spans="2:16" x14ac:dyDescent="0.3">
      <c r="B7" s="42" t="s">
        <v>17</v>
      </c>
      <c r="C7" s="27" t="s">
        <v>21</v>
      </c>
      <c r="D7" s="27"/>
      <c r="E7" s="27" t="s">
        <v>33</v>
      </c>
      <c r="F7" s="42" t="s">
        <v>20</v>
      </c>
      <c r="G7" s="48">
        <v>620</v>
      </c>
      <c r="H7" s="48">
        <v>60.25</v>
      </c>
      <c r="I7" s="49">
        <v>29.41</v>
      </c>
      <c r="J7" s="50">
        <v>46232</v>
      </c>
      <c r="K7" s="30">
        <v>90</v>
      </c>
      <c r="L7" s="31">
        <f>TAB_APONT[[#This Row],[Tarifa (R$/há)]]*TAB_APONT[[#This Row],[há aplicado]]</f>
        <v>2646.9</v>
      </c>
      <c r="M7" s="32"/>
      <c r="N7" s="33"/>
      <c r="O7" s="34"/>
      <c r="P7" s="34"/>
    </row>
    <row r="8" spans="2:16" x14ac:dyDescent="0.3">
      <c r="B8" s="44" t="s">
        <v>17</v>
      </c>
      <c r="C8" s="35" t="s">
        <v>18</v>
      </c>
      <c r="D8" s="35"/>
      <c r="E8" s="35" t="s">
        <v>22</v>
      </c>
      <c r="F8" s="44" t="s">
        <v>19</v>
      </c>
      <c r="G8" s="51">
        <v>500</v>
      </c>
      <c r="H8" s="51">
        <v>29.05</v>
      </c>
      <c r="I8" s="52">
        <v>28.5</v>
      </c>
      <c r="J8" s="53">
        <v>46232</v>
      </c>
      <c r="K8" s="39">
        <v>79</v>
      </c>
      <c r="L8" s="40">
        <f>TAB_APONT[[#This Row],[Tarifa (R$/há)]]*TAB_APONT[[#This Row],[há aplicado]]</f>
        <v>2251.5</v>
      </c>
      <c r="M8" s="34"/>
      <c r="N8" s="34"/>
      <c r="O8" s="34"/>
      <c r="P8" s="34"/>
    </row>
    <row r="9" spans="2:16" x14ac:dyDescent="0.3">
      <c r="B9" s="27" t="s">
        <v>28</v>
      </c>
      <c r="C9" s="27" t="s">
        <v>29</v>
      </c>
      <c r="D9" s="27"/>
      <c r="E9" s="27" t="s">
        <v>32</v>
      </c>
      <c r="F9" s="27" t="s">
        <v>35</v>
      </c>
      <c r="G9" s="28">
        <v>232</v>
      </c>
      <c r="H9" s="28">
        <v>31.7</v>
      </c>
      <c r="I9" s="46">
        <v>30.8</v>
      </c>
      <c r="J9" s="29">
        <v>46233</v>
      </c>
      <c r="K9" s="30">
        <v>79</v>
      </c>
      <c r="L9" s="31">
        <f>TAB_APONT[[#This Row],[Tarifa (R$/há)]]*TAB_APONT[[#This Row],[há aplicado]]</f>
        <v>2433.2000000000003</v>
      </c>
      <c r="M9" s="34"/>
      <c r="N9" s="34"/>
      <c r="O9" s="34"/>
      <c r="P9" s="34"/>
    </row>
    <row r="10" spans="2:16" x14ac:dyDescent="0.3">
      <c r="B10" s="35" t="s">
        <v>28</v>
      </c>
      <c r="C10" s="35" t="s">
        <v>29</v>
      </c>
      <c r="D10" s="35"/>
      <c r="E10" s="35" t="s">
        <v>32</v>
      </c>
      <c r="F10" s="35" t="s">
        <v>35</v>
      </c>
      <c r="G10" s="36" t="s">
        <v>30</v>
      </c>
      <c r="H10" s="36">
        <v>23.64</v>
      </c>
      <c r="I10" s="45">
        <v>21</v>
      </c>
      <c r="J10" s="38">
        <v>46236</v>
      </c>
      <c r="K10" s="39">
        <v>79</v>
      </c>
      <c r="L10" s="40">
        <f>TAB_APONT[[#This Row],[Tarifa (R$/há)]]*TAB_APONT[[#This Row],[há aplicado]]</f>
        <v>1659</v>
      </c>
      <c r="M10" s="34"/>
      <c r="N10" s="34"/>
      <c r="O10" s="34"/>
      <c r="P10" s="34"/>
    </row>
    <row r="11" spans="2:16" x14ac:dyDescent="0.3">
      <c r="B11" s="27" t="s">
        <v>28</v>
      </c>
      <c r="C11" s="27" t="s">
        <v>29</v>
      </c>
      <c r="D11" s="27"/>
      <c r="E11" s="27" t="s">
        <v>32</v>
      </c>
      <c r="F11" s="27" t="s">
        <v>35</v>
      </c>
      <c r="G11" s="28" t="s">
        <v>31</v>
      </c>
      <c r="H11" s="28">
        <v>27.04</v>
      </c>
      <c r="I11" s="46">
        <v>23.09</v>
      </c>
      <c r="J11" s="29">
        <v>46237</v>
      </c>
      <c r="K11" s="30">
        <v>79</v>
      </c>
      <c r="L11" s="31">
        <f>TAB_APONT[[#This Row],[Tarifa (R$/há)]]*TAB_APONT[[#This Row],[há aplicado]]</f>
        <v>1824.11</v>
      </c>
      <c r="M11" s="34"/>
      <c r="N11" s="34"/>
      <c r="O11" s="34"/>
      <c r="P11" s="34"/>
    </row>
    <row r="12" spans="2:16" x14ac:dyDescent="0.3">
      <c r="B12" s="35" t="s">
        <v>28</v>
      </c>
      <c r="C12" s="35" t="s">
        <v>29</v>
      </c>
      <c r="D12" s="35"/>
      <c r="E12" s="35" t="s">
        <v>32</v>
      </c>
      <c r="F12" s="35" t="s">
        <v>34</v>
      </c>
      <c r="G12" s="36">
        <v>263</v>
      </c>
      <c r="H12" s="36">
        <v>51.34</v>
      </c>
      <c r="I12" s="45">
        <v>18.02</v>
      </c>
      <c r="J12" s="38">
        <v>46239</v>
      </c>
      <c r="K12" s="39">
        <v>88</v>
      </c>
      <c r="L12" s="40">
        <f>TAB_APONT[[#This Row],[Tarifa (R$/há)]]*TAB_APONT[[#This Row],[há aplicado]]</f>
        <v>1585.76</v>
      </c>
      <c r="M12" s="41"/>
      <c r="N12" s="34"/>
      <c r="O12" s="34"/>
      <c r="P12" s="34"/>
    </row>
    <row r="13" spans="2:16" x14ac:dyDescent="0.3">
      <c r="B13" s="27" t="s">
        <v>28</v>
      </c>
      <c r="C13" s="27" t="s">
        <v>29</v>
      </c>
      <c r="D13" s="27"/>
      <c r="E13" s="27" t="s">
        <v>32</v>
      </c>
      <c r="F13" s="27" t="s">
        <v>34</v>
      </c>
      <c r="G13" s="47">
        <v>269</v>
      </c>
      <c r="H13" s="47">
        <v>50.7</v>
      </c>
      <c r="I13" s="46">
        <v>22</v>
      </c>
      <c r="J13" s="29">
        <v>46239</v>
      </c>
      <c r="K13" s="30">
        <v>88</v>
      </c>
      <c r="L13" s="31">
        <f>TAB_APONT[[#This Row],[Tarifa (R$/há)]]*TAB_APONT[[#This Row],[há aplicado]]</f>
        <v>1936</v>
      </c>
      <c r="M13" s="41"/>
      <c r="N13" s="34"/>
      <c r="O13" s="34"/>
      <c r="P13" s="34"/>
    </row>
    <row r="14" spans="2:16" x14ac:dyDescent="0.3">
      <c r="B14" s="35" t="s">
        <v>28</v>
      </c>
      <c r="C14" s="35" t="s">
        <v>29</v>
      </c>
      <c r="D14" s="35"/>
      <c r="E14" s="35" t="s">
        <v>32</v>
      </c>
      <c r="F14" s="35" t="s">
        <v>34</v>
      </c>
      <c r="G14" s="36">
        <v>260</v>
      </c>
      <c r="H14" s="36">
        <v>52.14</v>
      </c>
      <c r="I14" s="37">
        <v>21.2</v>
      </c>
      <c r="J14" s="38">
        <v>46239</v>
      </c>
      <c r="K14" s="39">
        <v>88</v>
      </c>
      <c r="L14" s="40">
        <f>TAB_APONT[[#This Row],[Tarifa (R$/há)]]*TAB_APONT[[#This Row],[há aplicado]]</f>
        <v>1865.6</v>
      </c>
      <c r="M14" s="41"/>
      <c r="N14" s="34"/>
      <c r="O14" s="34"/>
      <c r="P14" s="34"/>
    </row>
    <row r="15" spans="2:16" x14ac:dyDescent="0.3">
      <c r="B15" s="27" t="s">
        <v>28</v>
      </c>
      <c r="C15" s="27" t="s">
        <v>29</v>
      </c>
      <c r="D15" s="27"/>
      <c r="E15" s="27" t="s">
        <v>32</v>
      </c>
      <c r="F15" s="27" t="s">
        <v>34</v>
      </c>
      <c r="G15" s="48">
        <v>259</v>
      </c>
      <c r="H15" s="48">
        <v>46.56</v>
      </c>
      <c r="I15" s="49">
        <v>18.3</v>
      </c>
      <c r="J15" s="50">
        <v>46239</v>
      </c>
      <c r="K15" s="30">
        <v>88</v>
      </c>
      <c r="L15" s="31">
        <f>TAB_APONT[[#This Row],[Tarifa (R$/há)]]*TAB_APONT[[#This Row],[há aplicado]]</f>
        <v>1610.4</v>
      </c>
      <c r="M15" s="41"/>
      <c r="N15" s="34"/>
      <c r="O15" s="34"/>
      <c r="P15" s="34"/>
    </row>
    <row r="16" spans="2:16" x14ac:dyDescent="0.3">
      <c r="B16" s="35" t="s">
        <v>28</v>
      </c>
      <c r="C16" s="35" t="s">
        <v>29</v>
      </c>
      <c r="D16" s="35"/>
      <c r="E16" s="35" t="s">
        <v>32</v>
      </c>
      <c r="F16" s="44" t="s">
        <v>34</v>
      </c>
      <c r="G16" s="51">
        <v>258</v>
      </c>
      <c r="H16" s="51">
        <v>57.47</v>
      </c>
      <c r="I16" s="52">
        <v>23.3</v>
      </c>
      <c r="J16" s="53">
        <v>46239</v>
      </c>
      <c r="K16" s="39">
        <v>88</v>
      </c>
      <c r="L16" s="40">
        <f>TAB_APONT[[#This Row],[Tarifa (R$/há)]]*TAB_APONT[[#This Row],[há aplicado]]</f>
        <v>2050.4</v>
      </c>
      <c r="M16" s="41"/>
      <c r="N16" s="34"/>
      <c r="O16" s="34"/>
      <c r="P16" s="34"/>
    </row>
    <row r="17" spans="2:16" x14ac:dyDescent="0.3">
      <c r="B17" s="42" t="s">
        <v>17</v>
      </c>
      <c r="C17" s="27" t="s">
        <v>50</v>
      </c>
      <c r="D17" s="27"/>
      <c r="E17" s="27" t="s">
        <v>49</v>
      </c>
      <c r="F17" s="42" t="s">
        <v>20</v>
      </c>
      <c r="G17" s="48" t="s">
        <v>48</v>
      </c>
      <c r="H17" s="48">
        <v>126.53</v>
      </c>
      <c r="I17" s="49">
        <v>52.9</v>
      </c>
      <c r="J17" s="50">
        <v>46240</v>
      </c>
      <c r="K17" s="30">
        <v>90</v>
      </c>
      <c r="L17" s="31">
        <f>TAB_APONT[[#This Row],[Tarifa (R$/há)]]*TAB_APONT[[#This Row],[há aplicado]]</f>
        <v>4761</v>
      </c>
      <c r="M17" s="41"/>
      <c r="N17" s="34"/>
      <c r="O17" s="34"/>
      <c r="P17" s="34"/>
    </row>
    <row r="18" spans="2:16" x14ac:dyDescent="0.3">
      <c r="B18" s="35"/>
      <c r="C18" s="35" t="s">
        <v>36</v>
      </c>
      <c r="D18" s="35"/>
      <c r="E18" s="35" t="s">
        <v>32</v>
      </c>
      <c r="F18" s="44" t="s">
        <v>34</v>
      </c>
      <c r="G18" s="51">
        <v>544</v>
      </c>
      <c r="H18" s="51">
        <v>43.67</v>
      </c>
      <c r="I18" s="52">
        <v>15.9</v>
      </c>
      <c r="J18" s="53">
        <v>46253</v>
      </c>
      <c r="K18" s="39">
        <v>88</v>
      </c>
      <c r="L18" s="40">
        <f>TAB_APONT[[#This Row],[Tarifa (R$/há)]]*TAB_APONT[[#This Row],[há aplicado]]</f>
        <v>1399.2</v>
      </c>
      <c r="M18" s="41"/>
      <c r="N18" s="34"/>
      <c r="O18" s="34"/>
      <c r="P18" s="34"/>
    </row>
    <row r="19" spans="2:16" x14ac:dyDescent="0.3">
      <c r="B19" s="42" t="s">
        <v>28</v>
      </c>
      <c r="C19" s="27" t="s">
        <v>36</v>
      </c>
      <c r="D19" s="27"/>
      <c r="E19" s="27" t="s">
        <v>32</v>
      </c>
      <c r="F19" s="42" t="s">
        <v>34</v>
      </c>
      <c r="G19" s="48">
        <v>546</v>
      </c>
      <c r="H19" s="48">
        <v>36.03</v>
      </c>
      <c r="I19" s="49">
        <v>13.2</v>
      </c>
      <c r="J19" s="50">
        <v>46253</v>
      </c>
      <c r="K19" s="30">
        <v>88</v>
      </c>
      <c r="L19" s="31">
        <f>TAB_APONT[[#This Row],[Tarifa (R$/há)]]*TAB_APONT[[#This Row],[há aplicado]]</f>
        <v>1161.5999999999999</v>
      </c>
      <c r="M19" s="41"/>
      <c r="N19" s="34"/>
      <c r="O19" s="34"/>
      <c r="P19" s="34"/>
    </row>
    <row r="20" spans="2:16" x14ac:dyDescent="0.3">
      <c r="B20" s="44" t="s">
        <v>28</v>
      </c>
      <c r="C20" s="35" t="s">
        <v>36</v>
      </c>
      <c r="D20" s="35"/>
      <c r="E20" s="35" t="s">
        <v>32</v>
      </c>
      <c r="F20" s="44" t="s">
        <v>34</v>
      </c>
      <c r="G20" s="51">
        <v>545</v>
      </c>
      <c r="H20" s="51">
        <v>38.49</v>
      </c>
      <c r="I20" s="52">
        <v>15.1</v>
      </c>
      <c r="J20" s="53">
        <v>46254</v>
      </c>
      <c r="K20" s="39">
        <v>88</v>
      </c>
      <c r="L20" s="40">
        <f>TAB_APONT[[#This Row],[Tarifa (R$/há)]]*TAB_APONT[[#This Row],[há aplicado]]</f>
        <v>1328.8</v>
      </c>
      <c r="M20" s="41"/>
      <c r="N20" s="34"/>
      <c r="O20" s="34"/>
      <c r="P20" s="34"/>
    </row>
    <row r="21" spans="2:16" x14ac:dyDescent="0.3">
      <c r="B21" s="42" t="s">
        <v>28</v>
      </c>
      <c r="C21" s="27" t="s">
        <v>51</v>
      </c>
      <c r="D21" s="27"/>
      <c r="E21" s="27" t="s">
        <v>32</v>
      </c>
      <c r="F21" s="42" t="s">
        <v>34</v>
      </c>
      <c r="G21" s="48">
        <v>543</v>
      </c>
      <c r="H21" s="48">
        <v>40.29</v>
      </c>
      <c r="I21" s="49">
        <v>18</v>
      </c>
      <c r="J21" s="50">
        <v>46255</v>
      </c>
      <c r="K21" s="30">
        <v>88</v>
      </c>
      <c r="L21" s="31">
        <f>TAB_APONT[[#This Row],[Tarifa (R$/há)]]*TAB_APONT[[#This Row],[há aplicado]]</f>
        <v>1584</v>
      </c>
      <c r="M21" s="41"/>
      <c r="N21" s="34"/>
      <c r="O21" s="34"/>
      <c r="P21" s="34"/>
    </row>
    <row r="22" spans="2:16" x14ac:dyDescent="0.3">
      <c r="B22" s="44" t="s">
        <v>28</v>
      </c>
      <c r="C22" s="35" t="s">
        <v>51</v>
      </c>
      <c r="D22" s="35"/>
      <c r="E22" s="35" t="s">
        <v>32</v>
      </c>
      <c r="F22" s="44" t="s">
        <v>34</v>
      </c>
      <c r="G22" s="51">
        <v>542</v>
      </c>
      <c r="H22" s="51">
        <v>32.19</v>
      </c>
      <c r="I22" s="52">
        <v>32</v>
      </c>
      <c r="J22" s="53">
        <v>46255</v>
      </c>
      <c r="K22" s="39">
        <v>79</v>
      </c>
      <c r="L22" s="40">
        <f>TAB_APONT[[#This Row],[Tarifa (R$/há)]]*TAB_APONT[[#This Row],[há aplicado]]</f>
        <v>2528</v>
      </c>
      <c r="M22" s="41"/>
      <c r="N22" s="34"/>
      <c r="O22" s="34"/>
      <c r="P22" s="34"/>
    </row>
    <row r="23" spans="2:16" x14ac:dyDescent="0.3">
      <c r="B23" s="42" t="s">
        <v>17</v>
      </c>
      <c r="C23" s="27" t="s">
        <v>38</v>
      </c>
      <c r="D23" s="27"/>
      <c r="E23" s="27" t="s">
        <v>52</v>
      </c>
      <c r="F23" s="42" t="s">
        <v>47</v>
      </c>
      <c r="G23" s="48">
        <v>639</v>
      </c>
      <c r="H23" s="48">
        <v>49.7</v>
      </c>
      <c r="I23" s="49">
        <v>48</v>
      </c>
      <c r="J23" s="50">
        <v>46256</v>
      </c>
      <c r="K23" s="30">
        <v>79</v>
      </c>
      <c r="L23" s="31">
        <f>TAB_APONT[[#This Row],[Tarifa (R$/há)]]*TAB_APONT[[#This Row],[há aplicado]]</f>
        <v>3792</v>
      </c>
      <c r="M23" s="41"/>
      <c r="N23" s="34"/>
      <c r="O23" s="34"/>
      <c r="P23" s="34"/>
    </row>
    <row r="24" spans="2:16" x14ac:dyDescent="0.3">
      <c r="B24" s="44" t="s">
        <v>17</v>
      </c>
      <c r="C24" s="35" t="s">
        <v>37</v>
      </c>
      <c r="D24" s="35"/>
      <c r="E24" s="35" t="s">
        <v>52</v>
      </c>
      <c r="F24" s="44" t="s">
        <v>39</v>
      </c>
      <c r="G24" s="51">
        <v>613</v>
      </c>
      <c r="H24" s="51">
        <v>54.51</v>
      </c>
      <c r="I24" s="52">
        <v>35.4</v>
      </c>
      <c r="J24" s="53">
        <v>46256</v>
      </c>
      <c r="K24" s="39">
        <v>79</v>
      </c>
      <c r="L24" s="40">
        <f>TAB_APONT[[#This Row],[Tarifa (R$/há)]]*TAB_APONT[[#This Row],[há aplicado]]</f>
        <v>2796.6</v>
      </c>
      <c r="M24" s="41"/>
      <c r="N24" s="34"/>
      <c r="O24" s="34"/>
      <c r="P24" s="34"/>
    </row>
    <row r="25" spans="2:16" x14ac:dyDescent="0.3">
      <c r="B25" s="42" t="s">
        <v>17</v>
      </c>
      <c r="C25" s="27" t="s">
        <v>38</v>
      </c>
      <c r="D25" s="27"/>
      <c r="E25" s="27" t="s">
        <v>52</v>
      </c>
      <c r="F25" s="42" t="s">
        <v>47</v>
      </c>
      <c r="G25" s="48">
        <v>640</v>
      </c>
      <c r="H25" s="48">
        <v>49.19</v>
      </c>
      <c r="I25" s="49">
        <v>48.2</v>
      </c>
      <c r="J25" s="50">
        <v>46258</v>
      </c>
      <c r="K25" s="30">
        <v>79</v>
      </c>
      <c r="L25" s="31">
        <f>TAB_APONT[[#This Row],[Tarifa (R$/há)]]*TAB_APONT[[#This Row],[há aplicado]]</f>
        <v>3807.8</v>
      </c>
      <c r="M25" s="41"/>
      <c r="N25" s="34"/>
      <c r="O25" s="34"/>
      <c r="P25" s="34"/>
    </row>
    <row r="26" spans="2:16" x14ac:dyDescent="0.3">
      <c r="B26" s="44" t="s">
        <v>17</v>
      </c>
      <c r="C26" s="35" t="s">
        <v>37</v>
      </c>
      <c r="D26" s="35"/>
      <c r="E26" s="35" t="s">
        <v>52</v>
      </c>
      <c r="F26" s="44" t="s">
        <v>47</v>
      </c>
      <c r="G26" s="51">
        <v>637</v>
      </c>
      <c r="H26" s="51">
        <v>48.41</v>
      </c>
      <c r="I26" s="52">
        <v>49.4</v>
      </c>
      <c r="J26" s="53">
        <v>46258</v>
      </c>
      <c r="K26" s="39">
        <v>79</v>
      </c>
      <c r="L26" s="40">
        <f>TAB_APONT[[#This Row],[Tarifa (R$/há)]]*TAB_APONT[[#This Row],[há aplicado]]</f>
        <v>3902.6</v>
      </c>
      <c r="M26" s="41"/>
      <c r="N26" s="34"/>
      <c r="O26" s="34"/>
      <c r="P26" s="34"/>
    </row>
    <row r="27" spans="2:16" x14ac:dyDescent="0.3">
      <c r="B27" s="42" t="s">
        <v>17</v>
      </c>
      <c r="C27" s="27" t="s">
        <v>18</v>
      </c>
      <c r="D27" s="27"/>
      <c r="E27" s="27" t="s">
        <v>52</v>
      </c>
      <c r="F27" s="42" t="s">
        <v>39</v>
      </c>
      <c r="G27" s="48">
        <v>604</v>
      </c>
      <c r="H27" s="48">
        <v>60.48</v>
      </c>
      <c r="I27" s="49">
        <v>65.3</v>
      </c>
      <c r="J27" s="50">
        <v>46259</v>
      </c>
      <c r="K27" s="30">
        <v>79</v>
      </c>
      <c r="L27" s="31">
        <f>TAB_APONT[[#This Row],[Tarifa (R$/há)]]*TAB_APONT[[#This Row],[há aplicado]]</f>
        <v>5158.7</v>
      </c>
      <c r="M27" s="41"/>
      <c r="N27" s="34"/>
      <c r="O27" s="34"/>
      <c r="P27" s="34"/>
    </row>
    <row r="28" spans="2:16" x14ac:dyDescent="0.3">
      <c r="B28" s="44" t="s">
        <v>17</v>
      </c>
      <c r="C28" s="35" t="s">
        <v>18</v>
      </c>
      <c r="D28" s="35"/>
      <c r="E28" s="35" t="s">
        <v>52</v>
      </c>
      <c r="F28" s="44" t="s">
        <v>20</v>
      </c>
      <c r="G28" s="51">
        <v>618</v>
      </c>
      <c r="H28" s="51">
        <v>63.06</v>
      </c>
      <c r="I28" s="52">
        <v>33.6</v>
      </c>
      <c r="J28" s="53">
        <v>46259</v>
      </c>
      <c r="K28" s="39">
        <v>85</v>
      </c>
      <c r="L28" s="40">
        <f>TAB_APONT[[#This Row],[Tarifa (R$/há)]]*TAB_APONT[[#This Row],[há aplicado]]</f>
        <v>2856</v>
      </c>
      <c r="M28" s="41"/>
      <c r="N28" s="34"/>
      <c r="O28" s="34"/>
      <c r="P28" s="34"/>
    </row>
    <row r="29" spans="2:16" x14ac:dyDescent="0.3">
      <c r="B29" s="42" t="s">
        <v>28</v>
      </c>
      <c r="C29" s="43" t="s">
        <v>40</v>
      </c>
      <c r="D29" s="27"/>
      <c r="E29" s="27" t="s">
        <v>32</v>
      </c>
      <c r="F29" s="42" t="s">
        <v>42</v>
      </c>
      <c r="G29" s="48">
        <v>50</v>
      </c>
      <c r="H29" s="48">
        <v>53.75</v>
      </c>
      <c r="I29" s="49">
        <v>52.1</v>
      </c>
      <c r="J29" s="50">
        <v>46260</v>
      </c>
      <c r="K29" s="30">
        <v>75</v>
      </c>
      <c r="L29" s="31">
        <f>TAB_APONT[[#This Row],[Tarifa (R$/há)]]*TAB_APONT[[#This Row],[há aplicado]]</f>
        <v>3907.5</v>
      </c>
      <c r="M29" s="41"/>
      <c r="N29" s="34"/>
      <c r="O29" s="34"/>
      <c r="P29" s="34"/>
    </row>
    <row r="30" spans="2:16" x14ac:dyDescent="0.3">
      <c r="B30" s="44" t="s">
        <v>28</v>
      </c>
      <c r="C30" s="76" t="s">
        <v>40</v>
      </c>
      <c r="D30" s="35"/>
      <c r="E30" s="35" t="s">
        <v>32</v>
      </c>
      <c r="F30" s="44" t="s">
        <v>42</v>
      </c>
      <c r="G30" s="51">
        <v>55</v>
      </c>
      <c r="H30" s="51">
        <v>32.58</v>
      </c>
      <c r="I30" s="52">
        <v>31.6</v>
      </c>
      <c r="J30" s="53">
        <v>46260</v>
      </c>
      <c r="K30" s="39">
        <v>75</v>
      </c>
      <c r="L30" s="40">
        <f>TAB_APONT[[#This Row],[Tarifa (R$/há)]]*TAB_APONT[[#This Row],[há aplicado]]</f>
        <v>2370</v>
      </c>
      <c r="M30" s="41"/>
      <c r="N30" s="34"/>
      <c r="O30" s="34"/>
      <c r="P30" s="34"/>
    </row>
    <row r="31" spans="2:16" x14ac:dyDescent="0.3">
      <c r="B31" s="42" t="s">
        <v>28</v>
      </c>
      <c r="C31" s="43" t="s">
        <v>40</v>
      </c>
      <c r="D31" s="27"/>
      <c r="E31" s="27" t="s">
        <v>32</v>
      </c>
      <c r="F31" s="42" t="s">
        <v>42</v>
      </c>
      <c r="G31" s="48" t="s">
        <v>41</v>
      </c>
      <c r="H31" s="48">
        <v>147.21</v>
      </c>
      <c r="I31" s="49">
        <v>60.1</v>
      </c>
      <c r="J31" s="50">
        <v>46262</v>
      </c>
      <c r="K31" s="30">
        <v>82</v>
      </c>
      <c r="L31" s="31">
        <f>TAB_APONT[[#This Row],[Tarifa (R$/há)]]*TAB_APONT[[#This Row],[há aplicado]]</f>
        <v>4928.2</v>
      </c>
      <c r="M31" s="41"/>
      <c r="N31" s="34"/>
      <c r="O31" s="34"/>
      <c r="P31" s="34"/>
    </row>
    <row r="32" spans="2:16" x14ac:dyDescent="0.3">
      <c r="B32" s="44" t="s">
        <v>44</v>
      </c>
      <c r="C32" s="76" t="s">
        <v>46</v>
      </c>
      <c r="D32" s="35"/>
      <c r="E32" s="35" t="s">
        <v>45</v>
      </c>
      <c r="F32" s="44" t="s">
        <v>34</v>
      </c>
      <c r="G32" s="51" t="s">
        <v>43</v>
      </c>
      <c r="H32" s="51">
        <v>311.8</v>
      </c>
      <c r="I32" s="52">
        <v>97.8</v>
      </c>
      <c r="J32" s="53">
        <v>46264</v>
      </c>
      <c r="K32" s="39">
        <v>85</v>
      </c>
      <c r="L32" s="40">
        <f>TAB_APONT[[#This Row],[Tarifa (R$/há)]]*TAB_APONT[[#This Row],[há aplicado]]</f>
        <v>8313</v>
      </c>
      <c r="M32" s="41"/>
      <c r="N32" s="34"/>
      <c r="O32" s="34"/>
      <c r="P32" s="34"/>
    </row>
    <row r="33" spans="2:16" x14ac:dyDescent="0.3">
      <c r="B33" s="42" t="s">
        <v>23</v>
      </c>
      <c r="C33" s="27"/>
      <c r="D33" s="27"/>
      <c r="E33" s="27"/>
      <c r="F33" s="42"/>
      <c r="G33" s="48"/>
      <c r="H33" s="48"/>
      <c r="I33" s="49"/>
      <c r="J33" s="50"/>
      <c r="K33" s="54"/>
      <c r="L33" s="31">
        <v>2770</v>
      </c>
      <c r="M33" s="41"/>
      <c r="N33" s="34"/>
      <c r="O33" s="34"/>
      <c r="P33" s="34"/>
    </row>
    <row r="34" spans="2:16" x14ac:dyDescent="0.3">
      <c r="B34" s="55" t="s">
        <v>24</v>
      </c>
      <c r="C34" s="56" t="s">
        <v>25</v>
      </c>
      <c r="D34" s="56"/>
      <c r="E34" s="56"/>
      <c r="F34" s="55"/>
      <c r="G34" s="57"/>
      <c r="H34" s="57">
        <v>325.89999999999998</v>
      </c>
      <c r="I34" s="58"/>
      <c r="J34" s="59"/>
      <c r="K34" s="60">
        <v>5.85</v>
      </c>
      <c r="L34" s="61">
        <f>-TAB_APONT[[#This Row],[há total]]*TAB_APONT[[#This Row],[Tarifa (R$/há)]]</f>
        <v>-1906.5149999999996</v>
      </c>
      <c r="M34" s="62">
        <f>-TAB_APONT[[#This Row],[há aplicado]]*TAB_APONT[[#This Row],[Valor Total]]</f>
        <v>0</v>
      </c>
      <c r="N34" s="62">
        <f>-TAB_APONT[[#This Row],[Data Início]]*TAB_APONT[[#This Row],[Insumos]]</f>
        <v>0</v>
      </c>
      <c r="O34" s="62">
        <f>-TAB_APONT[[#This Row],[Tarifa (R$/há)]]*TAB_APONT[[#This Row],[Qtde ]]</f>
        <v>0</v>
      </c>
      <c r="P34" s="62">
        <f>-TAB_APONT[[#This Row],[Valor Total]]*TAB_APONT[[#This Row],[Recomendação2]]</f>
        <v>0</v>
      </c>
    </row>
    <row r="35" spans="2:16" x14ac:dyDescent="0.3">
      <c r="B35" s="63"/>
      <c r="C35" s="64" t="s">
        <v>26</v>
      </c>
      <c r="D35" s="27"/>
      <c r="E35" s="27"/>
      <c r="F35" s="63"/>
      <c r="G35" s="65"/>
      <c r="H35" s="65">
        <v>223.4</v>
      </c>
      <c r="I35" s="66"/>
      <c r="J35" s="67"/>
      <c r="K35" s="68">
        <v>6.19</v>
      </c>
      <c r="L35" s="62">
        <f>-TAB_APONT[[#This Row],[há total]]*TAB_APONT[[#This Row],[Tarifa (R$/há)]]</f>
        <v>-1382.8460000000002</v>
      </c>
      <c r="M35" s="41"/>
      <c r="N35" s="34"/>
      <c r="O35" s="34"/>
      <c r="P35" s="34"/>
    </row>
    <row r="36" spans="2:16" x14ac:dyDescent="0.3">
      <c r="B36" s="69"/>
      <c r="C36" s="69"/>
      <c r="D36" s="70"/>
      <c r="E36" s="70"/>
      <c r="F36" s="69"/>
      <c r="G36" s="71"/>
      <c r="H36" s="72"/>
      <c r="I36" s="72">
        <f>SUBTOTAL(109,TAB_APONT[há aplicado])</f>
        <v>904.21999999999991</v>
      </c>
      <c r="J36" s="73"/>
      <c r="K36" s="69"/>
      <c r="L36" s="74">
        <f>SUBTOTAL(109,TAB_APONT[Valor Total])</f>
        <v>73938.508999999991</v>
      </c>
      <c r="M36" s="41"/>
      <c r="N36" s="34"/>
      <c r="O36" s="34"/>
      <c r="P36" s="34"/>
    </row>
    <row r="41" spans="2:16" x14ac:dyDescent="0.3">
      <c r="I41" s="75"/>
    </row>
    <row r="42" spans="2:16" x14ac:dyDescent="0.3">
      <c r="I42" s="75"/>
    </row>
    <row r="43" spans="2:16" x14ac:dyDescent="0.3">
      <c r="I43" s="7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2026-09-09T20:39:09Z</dcterms:modified>
</cp:coreProperties>
</file>