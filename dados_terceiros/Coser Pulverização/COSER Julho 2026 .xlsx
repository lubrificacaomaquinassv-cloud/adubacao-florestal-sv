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wa-comboio-posto-abastecimento\FLORESTA_TERCEIROS\Coser Pulverização\"/>
    </mc:Choice>
  </mc:AlternateContent>
  <xr:revisionPtr revIDLastSave="0" documentId="13_ncr:1_{2295B99A-7AD9-477D-831B-1CC5798C939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Co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L11" i="1"/>
  <c r="L10" i="1"/>
  <c r="L9" i="1"/>
  <c r="L8" i="1"/>
  <c r="L7" i="1"/>
  <c r="L12" i="1" l="1"/>
</calcChain>
</file>

<file path=xl/sharedStrings.xml><?xml version="1.0" encoding="utf-8"?>
<sst xmlns="http://schemas.openxmlformats.org/spreadsheetml/2006/main" count="41" uniqueCount="25">
  <si>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</si>
  <si>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</si>
  <si>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</si>
  <si>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</si>
  <si>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</si>
  <si>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</si>
  <si>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</si>
  <si>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</si>
  <si>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</si>
  <si>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</si>
  <si>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</si>
  <si>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</si>
  <si>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</si>
  <si>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</si>
  <si>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</si>
  <si>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</si>
  <si>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15 l/há</t>
  </si>
  <si>
    <t>Período: Julho / 2026</t>
  </si>
  <si>
    <t>COSER Pulverização Sustentável</t>
  </si>
  <si>
    <t>Adubação foliar + C. de lagartas</t>
  </si>
  <si>
    <t>Taquarussu</t>
  </si>
  <si>
    <t>ICL + Dipel</t>
  </si>
  <si>
    <t>386/387</t>
  </si>
  <si>
    <t>392/393</t>
  </si>
  <si>
    <t>388/389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</si>
</sst>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i/>
      <sz val="11"/>
      <color theme="0"/>
      <name val="Calibri"/>
      <family val="2"/>
    </font>
    <font>
      <i/>
      <sz val="11"/>
      <color theme="9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4" fontId="9" fillId="2" borderId="0" xfId="0" applyNumberFormat="1" applyFont="1" applyFill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0" xfId="0" applyFont="1"/>
    <xf numFmtId="20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/>
    </xf>
    <xf numFmtId="0" fontId="0" fillId="4" borderId="0" xfId="0" applyFill="1"/>
    <xf numFmtId="0" fontId="12" fillId="4" borderId="5" xfId="0" applyFont="1" applyFill="1" applyBorder="1" applyAlignment="1">
      <alignment horizontal="center" vertical="center"/>
    </xf>
    <xf numFmtId="14" fontId="12" fillId="4" borderId="5" xfId="0" applyNumberFormat="1" applyFont="1" applyFill="1" applyBorder="1" applyAlignment="1">
      <alignment horizontal="center" vertical="center"/>
    </xf>
    <xf numFmtId="44" fontId="12" fillId="4" borderId="5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4" fontId="2" fillId="4" borderId="1" xfId="1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44" fontId="13" fillId="3" borderId="1" xfId="1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44" fontId="13" fillId="5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fill>
        <patternFill>
          <fgColor indexed="64"/>
          <bgColor theme="0"/>
        </patternFill>
      </fill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fill>
        <patternFill>
          <fgColor indexed="64"/>
          <bgColor theme="0"/>
        </patternFill>
      </fill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fill>
        <patternFill>
          <fgColor indexed="64"/>
          <bgColor theme="0"/>
        </patternFill>
      </fill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fill>
        <patternFill>
          <fgColor indexed="64"/>
          <bgColor theme="0"/>
        </patternFill>
      </fill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fill>
        <patternFill>
          <fgColor indexed="64"/>
          <bgColor theme="0"/>
        </patternFill>
      </fill>
      <border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fill>
        <patternFill>
          <fgColor indexed="64"/>
          <bgColor theme="0"/>
        </patternFill>
      </fill>
      <border outline="0">
        <left style="thin">
          <color auto="1"/>
        </left>
        <right style="thin">
          <color auto="1"/>
        </right>
      </border>
    </dxf>
    <dxf>
      <fill>
        <patternFill patternType="solid">
          <fgColor indexed="64"/>
          <bgColor theme="9" tint="-0.49998474074526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9" tint="-0.49998474074526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none"/>
      </font>
      <fill>
        <patternFill>
          <fgColor indexed="64"/>
          <bgColor theme="0"/>
        </patternFill>
      </fill>
      <border outline="0">
        <right style="thin">
          <color auto="1"/>
        </right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B34D4-3A11-4019-8DD3-86CA52156F5F}" name="TAB_APONT" displayName="TAB_APONT" ref="B6:P12" totalsRowCount="1" headerRowDxfId="32" dataDxfId="31" tableBorderDxfId="30">
  <autoFilter ref="B6:P11" xr:uid="{DE9B34D4-3A11-4019-8DD3-86CA52156F5F}"/>
  <tableColumns count="15">
    <tableColumn id="2" xr3:uid="{2A355BDF-1F5F-436F-A973-1D8D3DCBAAB2}" name="Operação Realizada " dataDxfId="29" totalsRowDxfId="12"/>
    <tableColumn id="6" xr3:uid="{D138B5DC-D5C9-4F73-9125-ED59A7B42F01}" name="Produto" dataDxfId="28" totalsRowDxfId="11"/>
    <tableColumn id="10" xr3:uid="{84246BD6-14AA-4BAC-92DD-8301B71E216D}" name="Recomendação" dataDxfId="27" totalsRowDxfId="26"/>
    <tableColumn id="11" xr3:uid="{E910F717-EBDF-4C9D-A7BB-6E1F5BF979A6}" name="Volume de Calda" dataDxfId="25" totalsRowDxfId="24"/>
    <tableColumn id="3" xr3:uid="{3D4085DF-FDF1-495F-BB28-1985B0A1569D}" name="Horto" dataDxfId="23" totalsRowDxfId="10"/>
    <tableColumn id="5" xr3:uid="{532FB8BA-8674-4BB1-894E-EC14C6C7BFA5}" name="Talhão" dataDxfId="22" totalsRowDxfId="9"/>
    <tableColumn id="7" xr3:uid="{95CD1BE3-48E0-4454-A01A-A537C70E9A09}" name="há total" totalsRowFunction="sum" dataDxfId="21" totalsRowDxfId="8"/>
    <tableColumn id="4" xr3:uid="{3703DB42-A912-426F-8137-830C3E65E93E}" name="há aplicado" totalsRowFunction="sum" dataDxfId="20" totalsRowDxfId="7"/>
    <tableColumn id="9" xr3:uid="{04E4EAF1-A1D9-43E3-BC55-A9D2C1D0C915}" name="Data Início" dataDxfId="19" totalsRowDxfId="6"/>
    <tableColumn id="15" xr3:uid="{FA0E88B3-7562-49D6-BACC-D8EC61A69E2E}" name="Tarifa (R$/há)" dataDxfId="18" totalsRowDxfId="5"/>
    <tableColumn id="8" xr3:uid="{385A0F3D-AC81-4867-AFF6-0ED46D0E5DD5}" name="Valor Total" totalsRowFunction="sum" dataDxfId="17" totalsRowDxfId="4">
      <calculatedColumnFormula>TAB_APONT[[#This Row],[Tarifa (R$/há)]]*TAB_APONT[[#This Row],[há aplicado]]</calculatedColumnFormula>
    </tableColumn>
    <tableColumn id="13" xr3:uid="{D6E0CD5A-E200-4B6C-B4AD-8EA66D57F0DC}" name="Insumos" dataDxfId="16" totalsRowDxfId="3"/>
    <tableColumn id="14" xr3:uid="{C242D75F-7B4B-47C1-BE0B-47E8C6652A91}" name="Qtde " dataDxfId="15" totalsRowDxfId="2"/>
    <tableColumn id="18" xr3:uid="{3417F0D9-D9CE-462B-B622-3E4B15367896}" name="Recomendação2" dataDxfId="14" totalsRowDxfId="1"/>
    <tableColumn id="19" xr3:uid="{0BDD714A-27EE-414D-8137-20B239AE7E2A}" name="Observação" dataDxfId="13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B2:P12"/>
  <sheetViews>
    <sheetView showGridLines="0" tabSelected="1" workbookViewId="0">
      <selection activeCell="D21" sqref="D21"/>
    </sheetView>
  </sheetViews>
  <sheetFormatPr defaultColWidth="24.140625" defaultRowHeight="15" x14ac:dyDescent="0.25"/>
  <cols>
    <col min="1" max="1" width="5.7109375" customWidth="1"/>
    <col min="2" max="2" width="28" customWidth="1"/>
    <col min="3" max="5" width="18.7109375" customWidth="1"/>
    <col min="6" max="6" width="18.7109375" style="2" customWidth="1"/>
    <col min="7" max="9" width="13.7109375" customWidth="1"/>
    <col min="10" max="10" width="13.7109375" style="3" customWidth="1"/>
    <col min="11" max="11" width="16.7109375" style="4" customWidth="1"/>
    <col min="12" max="12" width="16.85546875" style="5" customWidth="1"/>
    <col min="13" max="13" width="60.85546875" hidden="1" customWidth="1"/>
    <col min="14" max="14" width="48.42578125" hidden="1" customWidth="1"/>
    <col min="15" max="16" width="0" hidden="1" customWidth="1"/>
  </cols>
  <sheetData>
    <row r="2" spans="2:16" ht="15.75" x14ac:dyDescent="0.25">
      <c r="B2" s="1" t="s">
        <v>18</v>
      </c>
      <c r="C2" s="1"/>
      <c r="D2" s="1"/>
      <c r="E2" s="1"/>
    </row>
    <row r="3" spans="2:16" ht="23.25" x14ac:dyDescent="0.25">
      <c r="B3" s="1" t="s">
        <v>0</v>
      </c>
      <c r="C3" s="1"/>
      <c r="D3" s="1"/>
      <c r="E3" s="1"/>
      <c r="F3" s="6"/>
      <c r="G3" s="6"/>
      <c r="H3" s="6"/>
      <c r="I3" s="6"/>
      <c r="J3" s="6"/>
      <c r="K3" s="7"/>
      <c r="L3" s="8"/>
    </row>
    <row r="4" spans="2:16" ht="23.25" x14ac:dyDescent="0.25">
      <c r="B4" s="9" t="s">
        <v>17</v>
      </c>
      <c r="C4" s="9"/>
      <c r="D4" s="9"/>
      <c r="E4" s="9"/>
      <c r="F4" s="6"/>
      <c r="G4" s="6"/>
      <c r="H4" s="6"/>
      <c r="I4" s="6"/>
      <c r="J4" s="6"/>
      <c r="K4" s="7"/>
      <c r="L4" s="8"/>
    </row>
    <row r="5" spans="2:16" ht="18" x14ac:dyDescent="0.25">
      <c r="F5" s="10"/>
      <c r="G5" s="11"/>
      <c r="H5" s="12"/>
      <c r="I5" s="12"/>
      <c r="J5" s="13"/>
      <c r="K5" s="14"/>
      <c r="L5" s="15"/>
    </row>
    <row r="6" spans="2:16" s="20" customFormat="1" x14ac:dyDescent="0.25">
      <c r="B6" s="30" t="s">
        <v>1</v>
      </c>
      <c r="C6" s="30" t="s">
        <v>2</v>
      </c>
      <c r="D6" s="30" t="s">
        <v>3</v>
      </c>
      <c r="E6" s="30" t="s">
        <v>4</v>
      </c>
      <c r="F6" s="30" t="s">
        <v>5</v>
      </c>
      <c r="G6" s="30" t="s">
        <v>6</v>
      </c>
      <c r="H6" s="30" t="s">
        <v>7</v>
      </c>
      <c r="I6" s="31" t="s">
        <v>8</v>
      </c>
      <c r="J6" s="32" t="s">
        <v>9</v>
      </c>
      <c r="K6" s="33" t="s">
        <v>10</v>
      </c>
      <c r="L6" s="34" t="s">
        <v>11</v>
      </c>
      <c r="M6" s="16" t="s">
        <v>12</v>
      </c>
      <c r="N6" s="17" t="s">
        <v>13</v>
      </c>
      <c r="O6" s="18" t="s">
        <v>14</v>
      </c>
      <c r="P6" s="19" t="s">
        <v>15</v>
      </c>
    </row>
    <row r="7" spans="2:16" x14ac:dyDescent="0.25">
      <c r="B7" s="35" t="s">
        <v>19</v>
      </c>
      <c r="C7" s="35" t="s">
        <v>21</v>
      </c>
      <c r="D7" s="35"/>
      <c r="E7" s="35" t="s">
        <v>16</v>
      </c>
      <c r="F7" s="35" t="s">
        <v>20</v>
      </c>
      <c r="G7" s="36">
        <v>391</v>
      </c>
      <c r="H7" s="36">
        <v>41.26</v>
      </c>
      <c r="I7" s="37">
        <v>37.49</v>
      </c>
      <c r="J7" s="38">
        <v>46223</v>
      </c>
      <c r="K7" s="39">
        <v>80</v>
      </c>
      <c r="L7" s="40">
        <f>TAB_APONT[[#This Row],[Tarifa (R$/há)]]*TAB_APONT[[#This Row],[há aplicado]]</f>
        <v>2999.2000000000003</v>
      </c>
      <c r="M7" s="21"/>
      <c r="N7" s="22"/>
      <c r="O7" s="23"/>
      <c r="P7" s="23"/>
    </row>
    <row r="8" spans="2:16" x14ac:dyDescent="0.25">
      <c r="B8" s="41" t="s">
        <v>19</v>
      </c>
      <c r="C8" s="41" t="s">
        <v>21</v>
      </c>
      <c r="D8" s="41"/>
      <c r="E8" s="41" t="s">
        <v>16</v>
      </c>
      <c r="F8" s="41" t="s">
        <v>20</v>
      </c>
      <c r="G8" s="42" t="s">
        <v>23</v>
      </c>
      <c r="H8" s="42">
        <v>131.74</v>
      </c>
      <c r="I8" s="43">
        <v>117.7</v>
      </c>
      <c r="J8" s="44">
        <v>46224</v>
      </c>
      <c r="K8" s="45">
        <v>80</v>
      </c>
      <c r="L8" s="46">
        <f>TAB_APONT[[#This Row],[Tarifa (R$/há)]]*TAB_APONT[[#This Row],[há aplicado]]</f>
        <v>9416</v>
      </c>
      <c r="M8" s="21"/>
      <c r="N8" s="22"/>
      <c r="O8" s="23"/>
      <c r="P8" s="23"/>
    </row>
    <row r="9" spans="2:16" x14ac:dyDescent="0.25">
      <c r="B9" s="35" t="s">
        <v>19</v>
      </c>
      <c r="C9" s="35" t="s">
        <v>21</v>
      </c>
      <c r="D9" s="35"/>
      <c r="E9" s="35" t="s">
        <v>16</v>
      </c>
      <c r="F9" s="35" t="s">
        <v>20</v>
      </c>
      <c r="G9" s="36" t="s">
        <v>24</v>
      </c>
      <c r="H9" s="36">
        <v>98.79</v>
      </c>
      <c r="I9" s="37">
        <v>89.9</v>
      </c>
      <c r="J9" s="38">
        <v>46225</v>
      </c>
      <c r="K9" s="39">
        <v>80</v>
      </c>
      <c r="L9" s="40">
        <f>TAB_APONT[[#This Row],[Tarifa (R$/há)]]*TAB_APONT[[#This Row],[há aplicado]]</f>
        <v>7192</v>
      </c>
      <c r="M9" s="23"/>
      <c r="N9" s="23"/>
      <c r="O9" s="23"/>
      <c r="P9" s="23"/>
    </row>
    <row r="10" spans="2:16" x14ac:dyDescent="0.25">
      <c r="B10" s="41" t="s">
        <v>19</v>
      </c>
      <c r="C10" s="41" t="s">
        <v>21</v>
      </c>
      <c r="D10" s="41"/>
      <c r="E10" s="41" t="s">
        <v>16</v>
      </c>
      <c r="F10" s="41" t="s">
        <v>20</v>
      </c>
      <c r="G10" s="42">
        <v>385</v>
      </c>
      <c r="H10" s="42">
        <v>53.26</v>
      </c>
      <c r="I10" s="43">
        <v>47</v>
      </c>
      <c r="J10" s="44">
        <v>46226</v>
      </c>
      <c r="K10" s="45">
        <v>80</v>
      </c>
      <c r="L10" s="46">
        <f>TAB_APONT[[#This Row],[Tarifa (R$/há)]]*TAB_APONT[[#This Row],[há aplicado]]</f>
        <v>3760</v>
      </c>
      <c r="M10" s="23"/>
      <c r="N10" s="23"/>
      <c r="O10" s="23"/>
      <c r="P10" s="23"/>
    </row>
    <row r="11" spans="2:16" x14ac:dyDescent="0.25">
      <c r="B11" s="35" t="s">
        <v>19</v>
      </c>
      <c r="C11" s="35" t="s">
        <v>21</v>
      </c>
      <c r="D11" s="35"/>
      <c r="E11" s="35" t="s">
        <v>16</v>
      </c>
      <c r="F11" s="35" t="s">
        <v>20</v>
      </c>
      <c r="G11" s="36" t="s">
        <v>22</v>
      </c>
      <c r="H11" s="36">
        <v>110.91</v>
      </c>
      <c r="I11" s="37">
        <v>92.3</v>
      </c>
      <c r="J11" s="38">
        <v>46227</v>
      </c>
      <c r="K11" s="39">
        <v>80</v>
      </c>
      <c r="L11" s="40">
        <f>TAB_APONT[[#This Row],[Tarifa (R$/há)]]*TAB_APONT[[#This Row],[há aplicado]]</f>
        <v>7384</v>
      </c>
      <c r="M11" s="23"/>
      <c r="N11" s="23"/>
      <c r="O11" s="23"/>
      <c r="P11" s="23"/>
    </row>
    <row r="12" spans="2:16" x14ac:dyDescent="0.25">
      <c r="B12" s="25"/>
      <c r="C12" s="25"/>
      <c r="D12" s="26"/>
      <c r="E12" s="26"/>
      <c r="F12" s="25"/>
      <c r="G12" s="27"/>
      <c r="H12" s="27">
        <f>SUBTOTAL(109,TAB_APONT[há total])</f>
        <v>435.96000000000004</v>
      </c>
      <c r="I12" s="27">
        <f>SUBTOTAL(109,TAB_APONT[há aplicado])</f>
        <v>384.39000000000004</v>
      </c>
      <c r="J12" s="28"/>
      <c r="K12" s="25"/>
      <c r="L12" s="29">
        <f>SUBTOTAL(109,TAB_APONT[Valor Total])</f>
        <v>30751.200000000001</v>
      </c>
      <c r="M12" s="24"/>
      <c r="N12" s="23"/>
      <c r="O12" s="23"/>
      <c r="P12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ADM 04</cp:lastModifiedBy>
  <dcterms:created xsi:type="dcterms:W3CDTF">2015-06-05T18:17:20Z</dcterms:created>
  <dcterms:modified xsi:type="dcterms:W3CDTF">2026-09-18T16:59:45Z</dcterms:modified>
</cp:coreProperties>
</file>